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solitworkbi.sharepoint.com/sites/SolitworkDenmark/Delte dokumenter/11. Month-end-Closing Procedure (PM)/"/>
    </mc:Choice>
  </mc:AlternateContent>
  <xr:revisionPtr revIDLastSave="0" documentId="8_{80CFA06F-4CE4-4ED2-B5F2-35E75F80CC0B}" xr6:coauthVersionLast="47" xr6:coauthVersionMax="47" xr10:uidLastSave="{00000000-0000-0000-0000-000000000000}"/>
  <bookViews>
    <workbookView xWindow="-110" yWindow="-110" windowWidth="38620" windowHeight="21100" xr2:uid="{9EEB446E-F896-4F52-8E77-EC8526C4831B}"/>
  </bookViews>
  <sheets>
    <sheet name="2026" sheetId="2" r:id="rId1"/>
    <sheet name="Ark1" sheetId="1" r:id="rId2"/>
    <sheet name="Hourly rates 2025" sheetId="3" r:id="rId3"/>
  </sheets>
  <externalReferences>
    <externalReference r:id="rId4"/>
  </externalReferences>
  <definedNames>
    <definedName name="XL3DisableCameraObjects" hidden="1">[1]XLCubedFormats!A1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2" l="1"/>
  <c r="E33" i="2"/>
  <c r="D33" i="2"/>
  <c r="J3" i="3"/>
  <c r="K3" i="3"/>
  <c r="L3" i="3"/>
  <c r="M3" i="3"/>
  <c r="N3" i="3"/>
  <c r="V11" i="3"/>
  <c r="V12" i="3"/>
  <c r="C15" i="3"/>
  <c r="K15" i="3"/>
  <c r="C18" i="3"/>
  <c r="D18" i="3"/>
  <c r="K18" i="3"/>
  <c r="L18" i="3"/>
  <c r="C22" i="3"/>
  <c r="D22" i="3"/>
  <c r="K22" i="3"/>
  <c r="L22" i="3"/>
  <c r="C30" i="3"/>
  <c r="D30" i="3"/>
  <c r="K30" i="3"/>
  <c r="L30" i="3"/>
  <c r="C32" i="3"/>
  <c r="K32" i="3"/>
  <c r="C35" i="3"/>
  <c r="D35" i="3"/>
  <c r="K35" i="3"/>
  <c r="L35" i="3"/>
  <c r="C36" i="3"/>
  <c r="K36" i="3"/>
  <c r="C38" i="3"/>
  <c r="D38" i="3"/>
  <c r="K38" i="3"/>
  <c r="L38" i="3"/>
  <c r="C49" i="3"/>
  <c r="D49" i="3"/>
  <c r="E49" i="3"/>
  <c r="F49" i="3"/>
  <c r="K49" i="3"/>
  <c r="L49" i="3"/>
  <c r="M49" i="3"/>
  <c r="N49" i="3"/>
  <c r="C61" i="3"/>
  <c r="D61" i="3"/>
  <c r="K61" i="3"/>
  <c r="L61" i="3"/>
  <c r="C62" i="3"/>
  <c r="D62" i="3"/>
  <c r="K62" i="3"/>
  <c r="L62" i="3"/>
  <c r="C67" i="3"/>
  <c r="D67" i="3"/>
  <c r="K67" i="3"/>
  <c r="L67" i="3"/>
  <c r="C68" i="3"/>
  <c r="K68" i="3"/>
  <c r="C74" i="3"/>
  <c r="K74" i="3"/>
  <c r="C77" i="3"/>
  <c r="D77" i="3"/>
  <c r="H77" i="3"/>
  <c r="K77" i="3"/>
  <c r="L77" i="3"/>
  <c r="E81" i="3"/>
  <c r="M81" i="3"/>
  <c r="H94" i="3"/>
  <c r="C97" i="3"/>
  <c r="D97" i="3"/>
  <c r="K97" i="3"/>
  <c r="L97" i="3"/>
  <c r="C99" i="3"/>
  <c r="D99" i="3"/>
  <c r="K99" i="3"/>
  <c r="L99" i="3"/>
  <c r="C101" i="3"/>
  <c r="K101" i="3"/>
  <c r="C102" i="3"/>
  <c r="D102" i="3"/>
  <c r="K102" i="3"/>
  <c r="L102" i="3"/>
  <c r="C103" i="3"/>
  <c r="D103" i="3"/>
  <c r="K103" i="3"/>
  <c r="L103" i="3"/>
  <c r="I96" i="2"/>
  <c r="L107" i="1"/>
  <c r="M107" i="1"/>
  <c r="N107" i="1"/>
  <c r="O107" i="1"/>
  <c r="O106" i="1"/>
  <c r="N106" i="1"/>
  <c r="M106" i="1"/>
  <c r="L106" i="1"/>
  <c r="M105" i="1"/>
  <c r="L105" i="1"/>
  <c r="L104" i="1"/>
  <c r="M103" i="1"/>
  <c r="L103" i="1"/>
  <c r="M102" i="1"/>
  <c r="L102" i="1"/>
  <c r="M101" i="1"/>
  <c r="L101" i="1"/>
  <c r="M100" i="1"/>
  <c r="L100" i="1"/>
  <c r="M99" i="1"/>
  <c r="L99" i="1"/>
  <c r="L98" i="1"/>
  <c r="O97" i="1"/>
  <c r="N97" i="1"/>
  <c r="M97" i="1"/>
  <c r="L97" i="1"/>
  <c r="M96" i="1"/>
  <c r="L96" i="1"/>
  <c r="M95" i="1"/>
  <c r="L95" i="1"/>
  <c r="N89" i="1"/>
  <c r="N88" i="1"/>
  <c r="M88" i="1"/>
  <c r="L88" i="1"/>
  <c r="M87" i="1"/>
  <c r="M84" i="1"/>
  <c r="N84" i="1"/>
  <c r="O84" i="1"/>
  <c r="L84" i="1"/>
  <c r="M77" i="1"/>
  <c r="L77" i="1"/>
  <c r="L64" i="1"/>
  <c r="M64" i="1"/>
  <c r="L55" i="1"/>
  <c r="M55" i="1"/>
  <c r="L32" i="1"/>
  <c r="M17" i="1"/>
  <c r="L17" i="1"/>
  <c r="P94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13" i="1"/>
  <c r="K65" i="1"/>
  <c r="K33" i="1"/>
  <c r="K21" i="1"/>
  <c r="M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M43" i="1"/>
  <c r="N43" i="1"/>
  <c r="O43" i="1"/>
  <c r="M44" i="1"/>
  <c r="N44" i="1"/>
  <c r="O44" i="1"/>
  <c r="M45" i="1"/>
  <c r="N45" i="1"/>
  <c r="O45" i="1"/>
  <c r="M46" i="1"/>
  <c r="N46" i="1"/>
  <c r="O46" i="1"/>
  <c r="M47" i="1"/>
  <c r="N47" i="1"/>
  <c r="O47" i="1"/>
  <c r="M48" i="1"/>
  <c r="N48" i="1"/>
  <c r="O48" i="1"/>
  <c r="M49" i="1"/>
  <c r="N49" i="1"/>
  <c r="O49" i="1"/>
  <c r="M50" i="1"/>
  <c r="N50" i="1"/>
  <c r="O50" i="1"/>
  <c r="M51" i="1"/>
  <c r="N51" i="1"/>
  <c r="O51" i="1"/>
  <c r="M52" i="1"/>
  <c r="N52" i="1"/>
  <c r="O52" i="1"/>
  <c r="M53" i="1"/>
  <c r="N53" i="1"/>
  <c r="O53" i="1"/>
  <c r="M54" i="1"/>
  <c r="N54" i="1"/>
  <c r="O54" i="1"/>
  <c r="N55" i="1"/>
  <c r="O55" i="1"/>
  <c r="M56" i="1"/>
  <c r="N56" i="1"/>
  <c r="O56" i="1"/>
  <c r="M57" i="1"/>
  <c r="N57" i="1"/>
  <c r="O57" i="1"/>
  <c r="M58" i="1"/>
  <c r="N58" i="1"/>
  <c r="O58" i="1"/>
  <c r="M59" i="1"/>
  <c r="N59" i="1"/>
  <c r="O59" i="1"/>
  <c r="M60" i="1"/>
  <c r="N60" i="1"/>
  <c r="O60" i="1"/>
  <c r="M61" i="1"/>
  <c r="N61" i="1"/>
  <c r="O61" i="1"/>
  <c r="M62" i="1"/>
  <c r="N62" i="1"/>
  <c r="O62" i="1"/>
  <c r="M63" i="1"/>
  <c r="N63" i="1"/>
  <c r="O63" i="1"/>
  <c r="N64" i="1"/>
  <c r="O64" i="1"/>
  <c r="M65" i="1"/>
  <c r="N65" i="1"/>
  <c r="O65" i="1"/>
  <c r="N66" i="1"/>
  <c r="O66" i="1"/>
  <c r="M67" i="1"/>
  <c r="N67" i="1"/>
  <c r="O67" i="1"/>
  <c r="M68" i="1"/>
  <c r="N68" i="1"/>
  <c r="O68" i="1"/>
  <c r="M69" i="1"/>
  <c r="N69" i="1"/>
  <c r="O69" i="1"/>
  <c r="M70" i="1"/>
  <c r="N70" i="1"/>
  <c r="O70" i="1"/>
  <c r="M71" i="1"/>
  <c r="N71" i="1"/>
  <c r="O71" i="1"/>
  <c r="M72" i="1"/>
  <c r="N72" i="1"/>
  <c r="O72" i="1"/>
  <c r="M73" i="1"/>
  <c r="N73" i="1"/>
  <c r="O73" i="1"/>
  <c r="M74" i="1"/>
  <c r="N74" i="1"/>
  <c r="O74" i="1"/>
  <c r="M75" i="1"/>
  <c r="N75" i="1"/>
  <c r="O75" i="1"/>
  <c r="M76" i="1"/>
  <c r="N76" i="1"/>
  <c r="O76" i="1"/>
  <c r="N77" i="1"/>
  <c r="O77" i="1"/>
  <c r="M78" i="1"/>
  <c r="N78" i="1"/>
  <c r="O78" i="1"/>
  <c r="M79" i="1"/>
  <c r="N79" i="1"/>
  <c r="O79" i="1"/>
  <c r="M80" i="1"/>
  <c r="N80" i="1"/>
  <c r="O80" i="1"/>
  <c r="M81" i="1"/>
  <c r="N81" i="1"/>
  <c r="O81" i="1"/>
  <c r="M82" i="1"/>
  <c r="N82" i="1"/>
  <c r="O82" i="1"/>
  <c r="M83" i="1"/>
  <c r="N83" i="1"/>
  <c r="O83" i="1"/>
  <c r="M85" i="1"/>
  <c r="N85" i="1"/>
  <c r="O85" i="1"/>
  <c r="M86" i="1"/>
  <c r="N86" i="1"/>
  <c r="O86" i="1"/>
  <c r="N87" i="1"/>
  <c r="O87" i="1"/>
  <c r="O88" i="1"/>
  <c r="M89" i="1"/>
  <c r="O89" i="1"/>
  <c r="M90" i="1"/>
  <c r="N90" i="1"/>
  <c r="O90" i="1"/>
  <c r="M91" i="1"/>
  <c r="N91" i="1"/>
  <c r="O91" i="1"/>
  <c r="M92" i="1"/>
  <c r="N92" i="1"/>
  <c r="O92" i="1"/>
  <c r="M93" i="1"/>
  <c r="N93" i="1"/>
  <c r="O93" i="1"/>
  <c r="M94" i="1"/>
  <c r="N94" i="1"/>
  <c r="O94" i="1"/>
  <c r="N95" i="1"/>
  <c r="O95" i="1"/>
  <c r="N96" i="1"/>
  <c r="O96" i="1"/>
  <c r="M98" i="1"/>
  <c r="N98" i="1"/>
  <c r="O98" i="1"/>
  <c r="N99" i="1"/>
  <c r="O99" i="1"/>
  <c r="N100" i="1"/>
  <c r="O100" i="1"/>
  <c r="N101" i="1"/>
  <c r="O101" i="1"/>
  <c r="N102" i="1"/>
  <c r="O102" i="1"/>
  <c r="N103" i="1"/>
  <c r="O103" i="1"/>
  <c r="M104" i="1"/>
  <c r="N104" i="1"/>
  <c r="O104" i="1"/>
  <c r="N105" i="1"/>
  <c r="O105" i="1"/>
  <c r="L59" i="1"/>
  <c r="L60" i="1"/>
  <c r="L61" i="1"/>
  <c r="L62" i="1"/>
  <c r="L63" i="1"/>
  <c r="L65" i="1"/>
  <c r="L67" i="1"/>
  <c r="L68" i="1"/>
  <c r="L69" i="1"/>
  <c r="L70" i="1"/>
  <c r="L71" i="1"/>
  <c r="L72" i="1"/>
  <c r="L73" i="1"/>
  <c r="L74" i="1"/>
  <c r="L75" i="1"/>
  <c r="L76" i="1"/>
  <c r="L78" i="1"/>
  <c r="L79" i="1"/>
  <c r="L80" i="1"/>
  <c r="L81" i="1"/>
  <c r="L82" i="1"/>
  <c r="L83" i="1"/>
  <c r="L85" i="1"/>
  <c r="L86" i="1"/>
  <c r="L87" i="1"/>
  <c r="L89" i="1"/>
  <c r="L90" i="1"/>
  <c r="L91" i="1"/>
  <c r="L92" i="1"/>
  <c r="L93" i="1"/>
  <c r="L94" i="1"/>
  <c r="L7" i="1"/>
  <c r="L8" i="1"/>
  <c r="L9" i="1"/>
  <c r="L10" i="1"/>
  <c r="L11" i="1"/>
  <c r="L12" i="1"/>
  <c r="L13" i="1"/>
  <c r="L14" i="1"/>
  <c r="L15" i="1"/>
  <c r="L16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6" i="1"/>
  <c r="L57" i="1"/>
  <c r="L58" i="1"/>
  <c r="L6" i="1"/>
</calcChain>
</file>

<file path=xl/sharedStrings.xml><?xml version="1.0" encoding="utf-8"?>
<sst xmlns="http://schemas.openxmlformats.org/spreadsheetml/2006/main" count="1421" uniqueCount="214">
  <si>
    <t>AFC - Hourly rate 2025</t>
  </si>
  <si>
    <t>Junior Consultant</t>
  </si>
  <si>
    <t>Consultant</t>
  </si>
  <si>
    <t>Senior Consultant</t>
  </si>
  <si>
    <t>Principal Consultant</t>
  </si>
  <si>
    <t>Data Sceintist</t>
  </si>
  <si>
    <t>Support hourly rate</t>
  </si>
  <si>
    <t>Standard hourly rates new costumers</t>
  </si>
  <si>
    <t>Customer</t>
  </si>
  <si>
    <t>Data Scientist</t>
  </si>
  <si>
    <t>Support</t>
  </si>
  <si>
    <t>Kolonne1</t>
  </si>
  <si>
    <t>Kolonne2</t>
  </si>
  <si>
    <t>Kolonne3</t>
  </si>
  <si>
    <t>Kolonne4</t>
  </si>
  <si>
    <t>Kolonne5</t>
  </si>
  <si>
    <t>Kolonne6</t>
  </si>
  <si>
    <t>Kolonne7</t>
  </si>
  <si>
    <t>Kolonne8</t>
  </si>
  <si>
    <t>3C GROUPS A/S</t>
  </si>
  <si>
    <t>Yes</t>
  </si>
  <si>
    <t>7N</t>
  </si>
  <si>
    <t>YES</t>
  </si>
  <si>
    <t>AAA United</t>
  </si>
  <si>
    <t>ABACUS MEDICINE A/S</t>
  </si>
  <si>
    <t>Alba Tankers ApS</t>
  </si>
  <si>
    <t>All Things Live Group ApS</t>
  </si>
  <si>
    <t>No</t>
  </si>
  <si>
    <t>ANDERSEN MOTORS A/S</t>
  </si>
  <si>
    <t>ASETEK A/S</t>
  </si>
  <si>
    <t>AVK HOLDING A/S</t>
  </si>
  <si>
    <t>ASSOCIATED DANISH PORTS A/S</t>
  </si>
  <si>
    <t>sidste fakt. 31/5-2026</t>
  </si>
  <si>
    <t>Astarri A/S</t>
  </si>
  <si>
    <t>AudioNord International A/S</t>
  </si>
  <si>
    <t>Dk index ingen min.</t>
  </si>
  <si>
    <t>Bagger-Sørensen &amp; Co. A/S</t>
  </si>
  <si>
    <t>Bech-Bruun</t>
  </si>
  <si>
    <t>Bella Operation A/S</t>
  </si>
  <si>
    <t>BJARKE INGELS GROUP A/S</t>
  </si>
  <si>
    <t>Blackbird Air A/S</t>
  </si>
  <si>
    <t>BoConcept A/S</t>
  </si>
  <si>
    <t>BUNKER HOLDING A/S</t>
  </si>
  <si>
    <t>BYENS BILPLEJE.COM A/S</t>
  </si>
  <si>
    <t>Capnor Connery BidCo A/S</t>
  </si>
  <si>
    <t>C.C. JENSEN A/S</t>
  </si>
  <si>
    <t>CHANGE OF SCANDINAVIA A/S</t>
  </si>
  <si>
    <t>CM BIOMASS PARTNERS A/S</t>
  </si>
  <si>
    <t>COMWELL A/S</t>
  </si>
  <si>
    <t>Collectia A/S</t>
  </si>
  <si>
    <t>Connox GmbH</t>
  </si>
  <si>
    <t>Euro</t>
  </si>
  <si>
    <t>Contino Holding A/S</t>
  </si>
  <si>
    <t>Conscia Deutschland GmbH</t>
  </si>
  <si>
    <t>Coolshop (Entertainment Trading A/S)</t>
  </si>
  <si>
    <t>DANELEC ELECTRONICS A/S</t>
  </si>
  <si>
    <t>Delika Food Group A/S</t>
  </si>
  <si>
    <t>DK Company</t>
  </si>
  <si>
    <t>Dena A/S</t>
  </si>
  <si>
    <t>Ecooking</t>
  </si>
  <si>
    <t>Ejner Hessel</t>
  </si>
  <si>
    <t>ELLAB A/S</t>
  </si>
  <si>
    <t>ENERGI DANMARK A/S/ Mind energi</t>
  </si>
  <si>
    <t>Esoft Systems A/S</t>
  </si>
  <si>
    <t>EUROPEAN ENERGY A/S</t>
  </si>
  <si>
    <t>EXODRAFT A/S</t>
  </si>
  <si>
    <t>FF skagen</t>
  </si>
  <si>
    <t>FC Midtjylland A/S</t>
  </si>
  <si>
    <t>Flex Wind A/S</t>
  </si>
  <si>
    <t>GEA PROCESS ENGINEERING A/S</t>
  </si>
  <si>
    <t>GlobalConnect AS</t>
  </si>
  <si>
    <t>Good Food Group A/S</t>
  </si>
  <si>
    <t>GreenMobility A/S</t>
  </si>
  <si>
    <t>Gubra A/S</t>
  </si>
  <si>
    <t>GYLDENDAL A/S</t>
  </si>
  <si>
    <t>HEARTLAND A/S</t>
  </si>
  <si>
    <t>(Blackbird)</t>
  </si>
  <si>
    <t>HMF GROUP A/S</t>
  </si>
  <si>
    <t>H.P Therkelsen</t>
  </si>
  <si>
    <t>HUMMEL A/S</t>
  </si>
  <si>
    <t>(Lego House)</t>
  </si>
  <si>
    <t>KIRKBI A/S</t>
  </si>
  <si>
    <t>no</t>
  </si>
  <si>
    <t>(Udtræk fra BC projekt simon kun dette)</t>
  </si>
  <si>
    <t>KOMPAN A/S</t>
  </si>
  <si>
    <t>KONCENTON A/S</t>
  </si>
  <si>
    <t>KVADRAT A/S</t>
  </si>
  <si>
    <t>Liqtech Holding A/S</t>
  </si>
  <si>
    <t>Miinto Holding A/S</t>
  </si>
  <si>
    <t>(OBS ESG anden pris)</t>
  </si>
  <si>
    <t>Monjasa Holding A/S</t>
  </si>
  <si>
    <t>1541/1383</t>
  </si>
  <si>
    <t>1859/1787</t>
  </si>
  <si>
    <t>Munck Gruppen A/S</t>
  </si>
  <si>
    <t>(Nissens Automotiv)</t>
  </si>
  <si>
    <t>K. Nissen International A/S</t>
  </si>
  <si>
    <t>Nissens Cooling Solutions A/S</t>
  </si>
  <si>
    <t>NINE UNITED A/S</t>
  </si>
  <si>
    <t>NPV</t>
  </si>
  <si>
    <t>TDC A/S</t>
  </si>
  <si>
    <t>Odense Maritime Technology</t>
  </si>
  <si>
    <t>PcP A/S</t>
  </si>
  <si>
    <t>PINDSTRUP MOSEBRUG A/S</t>
  </si>
  <si>
    <t>PLANTAS A/S</t>
  </si>
  <si>
    <t>PLANTORAMA A/S</t>
  </si>
  <si>
    <t>Prima Vikar A/S</t>
  </si>
  <si>
    <t>Proark Group ApS</t>
  </si>
  <si>
    <t>SANOVO TECHNOLOGY A/S</t>
  </si>
  <si>
    <t>SCAN GROUP A/S</t>
  </si>
  <si>
    <t>(Support)</t>
  </si>
  <si>
    <t>SCANCOM INTERNATIONAL A/S</t>
  </si>
  <si>
    <t>index 1/1-27</t>
  </si>
  <si>
    <t>Scanmetals A/S</t>
  </si>
  <si>
    <t>Schur International Holding a/s</t>
  </si>
  <si>
    <t>SDK A/S</t>
  </si>
  <si>
    <t>SEF A/S</t>
  </si>
  <si>
    <t>Selfinvest ApS</t>
  </si>
  <si>
    <t>EURO</t>
  </si>
  <si>
    <t>Semper AB</t>
  </si>
  <si>
    <t>SKAKO A/S</t>
  </si>
  <si>
    <t>Sophion Bioscience A/S</t>
  </si>
  <si>
    <t>Sundvikar</t>
  </si>
  <si>
    <t>SØSTRENE GRENES IMPORT A/S</t>
  </si>
  <si>
    <t>The Cotton Group A/S</t>
  </si>
  <si>
    <t>NO</t>
  </si>
  <si>
    <t>index først 1/1-2027</t>
  </si>
  <si>
    <t>Trackman A/S</t>
  </si>
  <si>
    <t>TripleNine Group A/S</t>
  </si>
  <si>
    <t>UHRENHOLT A/S</t>
  </si>
  <si>
    <t>UNI-TANKERS A/S</t>
  </si>
  <si>
    <t>Unit IT A/S</t>
  </si>
  <si>
    <t>Ringkjøbing Landbobank A/S</t>
  </si>
  <si>
    <t>Royal Arctic Line A/S</t>
  </si>
  <si>
    <t>Vikan A/S</t>
  </si>
  <si>
    <t>WELLTEC DENMARK A/S</t>
  </si>
  <si>
    <t>WhiteAway A/S</t>
  </si>
  <si>
    <t>ZOOLOGISKE HAVE I KØBENHAVN</t>
  </si>
  <si>
    <t>Opsagt sidste faktura?</t>
  </si>
  <si>
    <t>Ziton</t>
  </si>
  <si>
    <t>yes</t>
  </si>
  <si>
    <t>Ønskeskyen ApS</t>
  </si>
  <si>
    <t>FCC - Hourly rate 2026</t>
  </si>
  <si>
    <t>Hourly rate 2026</t>
  </si>
  <si>
    <t>3SHAPE A/S</t>
  </si>
  <si>
    <t xml:space="preserve">ASSOCIATED DANISH PORTS A/S </t>
  </si>
  <si>
    <t>Consulent</t>
  </si>
  <si>
    <t>Title</t>
  </si>
  <si>
    <t>BANG &amp; OLUFSEN A/S</t>
  </si>
  <si>
    <t>Simon K- Albertsen</t>
  </si>
  <si>
    <t>Senior BA/TL</t>
  </si>
  <si>
    <t>BESTSELLER A/S</t>
  </si>
  <si>
    <t>Søren B. Corfitsen</t>
  </si>
  <si>
    <t>Senior DEV</t>
  </si>
  <si>
    <t>Johannes Lauritsen</t>
  </si>
  <si>
    <t>(Projekter)</t>
  </si>
  <si>
    <t>BMS A/S</t>
  </si>
  <si>
    <t>Nanna Andersen</t>
  </si>
  <si>
    <t>Morten Trøst Gunnersen</t>
  </si>
  <si>
    <t>Principal BA</t>
  </si>
  <si>
    <t>Peter Rokkjær</t>
  </si>
  <si>
    <t>Conaxess Trade Denmark A/S</t>
  </si>
  <si>
    <t>Andreas Mosbæk Jensen</t>
  </si>
  <si>
    <t>Rune Grosbøl</t>
  </si>
  <si>
    <t>Principal Dev</t>
  </si>
  <si>
    <t>DSB</t>
  </si>
  <si>
    <t>Dung My Hoa</t>
  </si>
  <si>
    <t>Kim Prang Rusholt Hermansen</t>
  </si>
  <si>
    <t>Sebastian Nyvang Mariussen</t>
  </si>
  <si>
    <t>Peter Thomsen</t>
  </si>
  <si>
    <t>Senior BA</t>
  </si>
  <si>
    <t>Peter Gammelholm Poulsen</t>
  </si>
  <si>
    <t>NORMAL A/S</t>
  </si>
  <si>
    <t>Kenneth Koed Pedersen</t>
  </si>
  <si>
    <t>LYNGSOE SYSTEMS A/S</t>
  </si>
  <si>
    <t>Jacky Krogh Harbo</t>
  </si>
  <si>
    <t>MAERSK SUPPLY SERVICE A/S</t>
  </si>
  <si>
    <t>Jacob Schulz Kodrup</t>
  </si>
  <si>
    <t>(DOF)</t>
  </si>
  <si>
    <t>Anne Louise Høegh</t>
  </si>
  <si>
    <t>SKORSTENSGAARD DANMARK A/S</t>
  </si>
  <si>
    <t>Erik V. Bugge</t>
  </si>
  <si>
    <t>(NIC. Christiansen Gruppen A/S)</t>
  </si>
  <si>
    <t>STIBO SYSTEMS A/S</t>
  </si>
  <si>
    <t>Nichlas Søgaard Lauersen</t>
  </si>
  <si>
    <t>SYDBANK A/S</t>
  </si>
  <si>
    <t>Sebastian Duedahl Vammen</t>
  </si>
  <si>
    <t>Jan Ettema</t>
  </si>
  <si>
    <t>Anne Christine Bisgaard</t>
  </si>
  <si>
    <t>Senior</t>
  </si>
  <si>
    <t>Mathias Byskov Nielsen</t>
  </si>
  <si>
    <t>Senior dev</t>
  </si>
  <si>
    <t>Luis Daniel Guzman Bertorelli</t>
  </si>
  <si>
    <t>Junior Dev</t>
  </si>
  <si>
    <t>Rupprecht Dohna</t>
  </si>
  <si>
    <t>Mads Misser</t>
  </si>
  <si>
    <t>Junior BA</t>
  </si>
  <si>
    <t>Thomas H. Nissen</t>
  </si>
  <si>
    <t>Senior Specialist/Principal</t>
  </si>
  <si>
    <t>1.278</t>
  </si>
  <si>
    <t>0</t>
  </si>
  <si>
    <t>1509/1355</t>
  </si>
  <si>
    <t>1821/1750</t>
  </si>
  <si>
    <t>Nuuday (TDC )</t>
  </si>
  <si>
    <t>OMT Odense Maritime Technology</t>
  </si>
  <si>
    <t>FCC - Hourly rate 2025</t>
  </si>
  <si>
    <t>Hourly rate 2025</t>
  </si>
  <si>
    <t>AFC - Hourly rate 2026</t>
  </si>
  <si>
    <t>Index regulering med 2,1% fra 2025</t>
  </si>
  <si>
    <t>Titlel</t>
  </si>
  <si>
    <t>DEV</t>
  </si>
  <si>
    <t>BA</t>
  </si>
  <si>
    <t>Thomas Risvig Dohn</t>
  </si>
  <si>
    <r>
      <rPr>
        <sz val="11"/>
        <color rgb="FF000000"/>
        <rFont val="Aptos Narrow"/>
        <family val="2"/>
        <scheme val="minor"/>
      </rPr>
      <t>1509/</t>
    </r>
    <r>
      <rPr>
        <sz val="11"/>
        <color rgb="FFFF0000"/>
        <rFont val="Aptos Narrow"/>
        <family val="2"/>
        <scheme val="minor"/>
      </rPr>
      <t>1355</t>
    </r>
  </si>
  <si>
    <r>
      <rPr>
        <sz val="11"/>
        <color rgb="FF000000"/>
        <rFont val="Aptos Narrow"/>
        <family val="2"/>
        <scheme val="minor"/>
      </rPr>
      <t>1821/</t>
    </r>
    <r>
      <rPr>
        <sz val="11"/>
        <color rgb="FFFF0000"/>
        <rFont val="Aptos Narrow"/>
        <family val="2"/>
        <scheme val="minor"/>
      </rPr>
      <t>1750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</si>
</sst>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\ &quot;kr.&quot;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theme="1"/>
      <name val="Calibri"/>
      <family val="2"/>
    </font>
    <font>
      <b/>
      <sz val="16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FFC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42424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rgb="FF003C7A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3" fillId="0" borderId="0" xfId="0" applyFont="1"/>
    <xf numFmtId="10" fontId="0" fillId="0" borderId="0" xfId="0" applyNumberFormat="1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4" fontId="0" fillId="0" borderId="0" xfId="0" applyNumberFormat="1"/>
    <xf numFmtId="0" fontId="2" fillId="0" borderId="0" xfId="0" applyFont="1"/>
    <xf numFmtId="3" fontId="0" fillId="0" borderId="1" xfId="0" applyNumberFormat="1" applyBorder="1"/>
    <xf numFmtId="14" fontId="2" fillId="0" borderId="0" xfId="0" applyNumberFormat="1" applyFont="1"/>
    <xf numFmtId="3" fontId="2" fillId="0" borderId="1" xfId="0" applyNumberFormat="1" applyFont="1" applyBorder="1"/>
    <xf numFmtId="1" fontId="0" fillId="0" borderId="0" xfId="0" applyNumberFormat="1"/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3" fontId="2" fillId="0" borderId="3" xfId="0" applyNumberFormat="1" applyFont="1" applyBorder="1"/>
    <xf numFmtId="0" fontId="0" fillId="0" borderId="2" xfId="0" applyBorder="1"/>
    <xf numFmtId="3" fontId="0" fillId="0" borderId="2" xfId="0" applyNumberFormat="1" applyBorder="1"/>
    <xf numFmtId="1" fontId="0" fillId="3" borderId="2" xfId="0" applyNumberFormat="1" applyFill="1" applyBorder="1"/>
    <xf numFmtId="3" fontId="0" fillId="4" borderId="4" xfId="0" applyNumberFormat="1" applyFill="1" applyBorder="1"/>
    <xf numFmtId="3" fontId="0" fillId="0" borderId="5" xfId="0" applyNumberFormat="1" applyBorder="1"/>
    <xf numFmtId="3" fontId="3" fillId="0" borderId="5" xfId="0" applyNumberFormat="1" applyFont="1" applyBorder="1" applyAlignment="1">
      <alignment horizontal="left" vertical="top"/>
    </xf>
    <xf numFmtId="3" fontId="0" fillId="4" borderId="6" xfId="0" applyNumberFormat="1" applyFill="1" applyBorder="1"/>
    <xf numFmtId="3" fontId="3" fillId="0" borderId="2" xfId="0" applyNumberFormat="1" applyFont="1" applyBorder="1" applyAlignment="1">
      <alignment horizontal="left" vertical="top"/>
    </xf>
    <xf numFmtId="3" fontId="3" fillId="0" borderId="2" xfId="0" applyNumberFormat="1" applyFont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5" fillId="5" borderId="8" xfId="0" applyFont="1" applyFill="1" applyBorder="1"/>
    <xf numFmtId="0" fontId="5" fillId="0" borderId="9" xfId="0" applyFont="1" applyBorder="1"/>
    <xf numFmtId="0" fontId="5" fillId="0" borderId="9" xfId="0" applyFont="1" applyBorder="1" applyAlignment="1">
      <alignment horizontal="left" vertical="top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0" fillId="0" borderId="0" xfId="0" applyAlignment="1">
      <alignment horizontal="right"/>
    </xf>
    <xf numFmtId="1" fontId="9" fillId="0" borderId="0" xfId="0" applyNumberFormat="1" applyFont="1" applyAlignment="1">
      <alignment horizontal="right" vertical="top"/>
    </xf>
    <xf numFmtId="3" fontId="9" fillId="0" borderId="2" xfId="0" applyNumberFormat="1" applyFont="1" applyBorder="1" applyAlignment="1">
      <alignment horizontal="right" vertical="top"/>
    </xf>
    <xf numFmtId="0" fontId="9" fillId="0" borderId="2" xfId="0" applyFont="1" applyBorder="1" applyAlignment="1">
      <alignment horizontal="center" vertical="top"/>
    </xf>
    <xf numFmtId="0" fontId="10" fillId="0" borderId="7" xfId="0" applyFont="1" applyBorder="1" applyAlignment="1">
      <alignment horizontal="left" vertical="top"/>
    </xf>
    <xf numFmtId="1" fontId="9" fillId="0" borderId="2" xfId="0" applyNumberFormat="1" applyFont="1" applyBorder="1" applyAlignment="1">
      <alignment horizontal="right" vertical="top"/>
    </xf>
    <xf numFmtId="0" fontId="9" fillId="0" borderId="0" xfId="0" applyFont="1" applyAlignment="1">
      <alignment horizontal="right" vertical="top"/>
    </xf>
    <xf numFmtId="0" fontId="9" fillId="0" borderId="2" xfId="0" applyFont="1" applyBorder="1" applyAlignment="1">
      <alignment horizontal="right" vertical="top"/>
    </xf>
    <xf numFmtId="0" fontId="9" fillId="0" borderId="2" xfId="0" applyFont="1" applyBorder="1" applyAlignment="1">
      <alignment horizontal="center"/>
    </xf>
    <xf numFmtId="3" fontId="1" fillId="0" borderId="2" xfId="0" quotePrefix="1" applyNumberFormat="1" applyFont="1" applyBorder="1"/>
    <xf numFmtId="0" fontId="0" fillId="0" borderId="0" xfId="0" applyAlignment="1">
      <alignment wrapText="1"/>
    </xf>
    <xf numFmtId="0" fontId="11" fillId="0" borderId="0" xfId="0" applyFont="1"/>
    <xf numFmtId="0" fontId="11" fillId="0" borderId="2" xfId="0" applyFont="1" applyBorder="1"/>
    <xf numFmtId="0" fontId="12" fillId="0" borderId="7" xfId="0" applyFont="1" applyBorder="1" applyAlignment="1">
      <alignment horizontal="left" vertical="top"/>
    </xf>
    <xf numFmtId="0" fontId="3" fillId="0" borderId="2" xfId="0" applyFont="1" applyBorder="1"/>
    <xf numFmtId="3" fontId="3" fillId="0" borderId="2" xfId="0" applyNumberFormat="1" applyFont="1" applyBorder="1"/>
    <xf numFmtId="10" fontId="0" fillId="0" borderId="0" xfId="1" applyNumberFormat="1" applyFont="1"/>
    <xf numFmtId="0" fontId="13" fillId="0" borderId="7" xfId="0" applyFont="1" applyBorder="1" applyAlignment="1">
      <alignment horizontal="left" vertical="top"/>
    </xf>
    <xf numFmtId="3" fontId="4" fillId="4" borderId="0" xfId="0" applyNumberFormat="1" applyFont="1" applyFill="1" applyAlignment="1">
      <alignment horizontal="right"/>
    </xf>
    <xf numFmtId="3" fontId="4" fillId="4" borderId="2" xfId="0" applyNumberFormat="1" applyFont="1" applyFill="1" applyBorder="1" applyAlignment="1">
      <alignment horizontal="right"/>
    </xf>
    <xf numFmtId="3" fontId="14" fillId="4" borderId="2" xfId="0" applyNumberFormat="1" applyFont="1" applyFill="1" applyBorder="1" applyAlignment="1">
      <alignment horizontal="right"/>
    </xf>
    <xf numFmtId="0" fontId="9" fillId="4" borderId="2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4" fontId="0" fillId="3" borderId="0" xfId="0" applyNumberFormat="1" applyFill="1"/>
    <xf numFmtId="3" fontId="0" fillId="3" borderId="10" xfId="0" applyNumberFormat="1" applyFill="1" applyBorder="1"/>
    <xf numFmtId="3" fontId="0" fillId="3" borderId="11" xfId="0" applyNumberFormat="1" applyFill="1" applyBorder="1"/>
    <xf numFmtId="3" fontId="0" fillId="3" borderId="12" xfId="0" applyNumberFormat="1" applyFill="1" applyBorder="1"/>
    <xf numFmtId="3" fontId="9" fillId="6" borderId="13" xfId="0" applyNumberFormat="1" applyFont="1" applyFill="1" applyBorder="1"/>
    <xf numFmtId="3" fontId="9" fillId="6" borderId="11" xfId="0" applyNumberFormat="1" applyFont="1" applyFill="1" applyBorder="1"/>
    <xf numFmtId="3" fontId="0" fillId="0" borderId="9" xfId="0" applyNumberFormat="1" applyBorder="1"/>
    <xf numFmtId="0" fontId="0" fillId="0" borderId="14" xfId="0" applyBorder="1"/>
    <xf numFmtId="0" fontId="11" fillId="0" borderId="14" xfId="0" applyFont="1" applyBorder="1"/>
    <xf numFmtId="0" fontId="17" fillId="0" borderId="14" xfId="0" applyFont="1" applyBorder="1"/>
    <xf numFmtId="0" fontId="0" fillId="0" borderId="14" xfId="0" applyBorder="1" applyAlignment="1">
      <alignment wrapText="1"/>
    </xf>
    <xf numFmtId="0" fontId="3" fillId="0" borderId="5" xfId="0" applyFont="1" applyBorder="1"/>
    <xf numFmtId="0" fontId="5" fillId="2" borderId="0" xfId="0" applyFont="1" applyFill="1" applyAlignment="1">
      <alignment horizontal="left" vertical="top"/>
    </xf>
    <xf numFmtId="0" fontId="0" fillId="0" borderId="0" xfId="0" applyAlignment="1"/>
  </cellXfs>
  <cellStyles count="2">
    <cellStyle name="Normal" xfId="0" builtinId="0"/>
    <cellStyle name="Percent" xfId="1" builtinId="5"/>
  </cellStyles>
  <dxfs count="44"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ill>
        <patternFill patternType="none">
          <fgColor indexed="64"/>
          <bgColor auto="1"/>
        </patternFill>
      </fill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ill>
        <patternFill patternType="none">
          <fgColor indexed="64"/>
          <bgColor auto="1"/>
        </patternFill>
      </fill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</dxfs>
  <tableStyles count="1" defaultTableStyle="TableStyleMedium2" defaultPivotStyle="PivotStyleLight16">
    <tableStyle name="Invisible" pivot="0" table="0" count="0" xr9:uid="{5228DF0C-FF72-4A99-838E-965EB00F60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2146004</xdr:colOff>
      <xdr:row>6</xdr:row>
      <xdr:rowOff>165100</xdr:rowOff>
    </xdr:from>
    <xdr:ext cx="3920183" cy="3011389"/>
    <xdr:pic>
      <xdr:nvPicPr>
        <xdr:cNvPr id="2" name="Billede 1">
          <a:extLst>
            <a:ext uri="{FF2B5EF4-FFF2-40B4-BE49-F238E27FC236}">
              <a16:creationId xmlns:a16="http://schemas.microsoft.com/office/drawing/2014/main" id="{3319037F-9C68-4588-B1D2-F55C05994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304" y="1270000"/>
          <a:ext cx="3920183" cy="3011389"/>
        </a:xfrm>
        <a:prstGeom prst="rect">
          <a:avLst/>
        </a:prstGeom>
      </xdr:spPr>
    </xdr:pic>
    <xdr:clientData/>
  </xdr:oneCellAnchor>
  <xdr:oneCellAnchor>
    <xdr:from>
      <xdr:col>17</xdr:col>
      <xdr:colOff>1054530</xdr:colOff>
      <xdr:row>1</xdr:row>
      <xdr:rowOff>127000</xdr:rowOff>
    </xdr:from>
    <xdr:ext cx="1775329" cy="876300"/>
    <xdr:pic>
      <xdr:nvPicPr>
        <xdr:cNvPr id="3" name="Billede 2">
          <a:extLst>
            <a:ext uri="{FF2B5EF4-FFF2-40B4-BE49-F238E27FC236}">
              <a16:creationId xmlns:a16="http://schemas.microsoft.com/office/drawing/2014/main" id="{48B4A2FD-5310-4396-96AF-89F32C132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73230" y="311150"/>
          <a:ext cx="1775329" cy="876300"/>
        </a:xfrm>
        <a:prstGeom prst="rect">
          <a:avLst/>
        </a:prstGeom>
      </xdr:spPr>
    </xdr:pic>
    <xdr:clientData/>
  </xdr:oneCellAnchor>
  <xdr:oneCellAnchor>
    <xdr:from>
      <xdr:col>18</xdr:col>
      <xdr:colOff>234950</xdr:colOff>
      <xdr:row>20</xdr:row>
      <xdr:rowOff>102746</xdr:rowOff>
    </xdr:from>
    <xdr:ext cx="3418206" cy="2657810"/>
    <xdr:pic>
      <xdr:nvPicPr>
        <xdr:cNvPr id="4" name="Billede 3">
          <a:extLst>
            <a:ext uri="{FF2B5EF4-FFF2-40B4-BE49-F238E27FC236}">
              <a16:creationId xmlns:a16="http://schemas.microsoft.com/office/drawing/2014/main" id="{FFBEFED7-67C7-4588-A452-AF56C01DE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07750" y="3785746"/>
          <a:ext cx="3418206" cy="2657810"/>
        </a:xfrm>
        <a:prstGeom prst="rect">
          <a:avLst/>
        </a:prstGeom>
      </xdr:spPr>
    </xdr:pic>
    <xdr:clientData/>
  </xdr:oneCellAnchor>
  <xdr:oneCellAnchor>
    <xdr:from>
      <xdr:col>21</xdr:col>
      <xdr:colOff>457200</xdr:colOff>
      <xdr:row>16</xdr:row>
      <xdr:rowOff>31751</xdr:rowOff>
    </xdr:from>
    <xdr:ext cx="1410450" cy="795254"/>
    <xdr:pic>
      <xdr:nvPicPr>
        <xdr:cNvPr id="5" name="Billede 4">
          <a:extLst>
            <a:ext uri="{FF2B5EF4-FFF2-40B4-BE49-F238E27FC236}">
              <a16:creationId xmlns:a16="http://schemas.microsoft.com/office/drawing/2014/main" id="{3999AE35-8A4A-48CE-B26D-592CD7785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258800" y="2978151"/>
          <a:ext cx="1410450" cy="795254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XLCubedForma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CubedFormat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5F239-937F-491A-8F96-B919A622169F}" name="Tabel1" displayName="Tabel1" ref="A6:H110" totalsRowShown="0" headerRowDxfId="43">
  <autoFilter ref="A6:H110" xr:uid="{2605F239-937F-491A-8F96-B919A622169F}"/>
  <tableColumns count="8">
    <tableColumn id="1" xr3:uid="{D516C96A-6437-4201-918C-7E1E2395113F}" name="Kolonne1" dataDxfId="42"/>
    <tableColumn id="2" xr3:uid="{FAF7D2F9-1680-46C2-9600-7CFC8A4ABCDB}" name="Kolonne2" dataDxfId="41"/>
    <tableColumn id="3" xr3:uid="{CFA1767B-487B-47BC-9E37-D2B46CD9B354}" name="Kolonne3" dataDxfId="40"/>
    <tableColumn id="4" xr3:uid="{DCBEA0C1-F908-4B8E-8B95-E80C29AE1D02}" name="Kolonne4" dataDxfId="39"/>
    <tableColumn id="5" xr3:uid="{C9556B01-945A-48D3-B45A-383A98AD42B3}" name="Kolonne5" dataDxfId="38"/>
    <tableColumn id="6" xr3:uid="{3861FA8E-01E0-4B3F-88A8-C201CFB73696}" name="Kolonne6" dataDxfId="37"/>
    <tableColumn id="7" xr3:uid="{92A93104-82B2-4CE5-936D-11B233CCE35D}" name="Kolonne7" dataDxfId="36"/>
    <tableColumn id="8" xr3:uid="{9229FD7F-1E84-434C-9470-2BB5E15EF304}" name="Kolonne8" dataDxfId="35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5B1BBF-48AA-442D-9FA3-7EFF131359D8}" name="Tabel3" displayName="Tabel3" ref="A115:B139" totalsRowShown="0">
  <autoFilter ref="A115:B139" xr:uid="{6A5B1BBF-48AA-442D-9FA3-7EFF131359D8}"/>
  <tableColumns count="2">
    <tableColumn id="1" xr3:uid="{610A1E0B-58FE-4B8D-9F9A-51E67D463E83}" name="Kolonne1"/>
    <tableColumn id="2" xr3:uid="{E54D2182-40AD-4359-9A60-96A513C4CFE8}" name="Consultant" dataDxfId="34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E25B46-4263-4D49-9EB8-18CA8FFAABC7}" name="Tabel15" displayName="Tabel15" ref="A6:G107" totalsRowShown="0" headerRowDxfId="33" dataDxfId="32" tableBorderDxfId="31">
  <tableColumns count="7">
    <tableColumn id="1" xr3:uid="{A9D820B9-425A-4EF4-8492-1279B8283FF9}" name="3C GROUPS A/S" dataDxfId="30"/>
    <tableColumn id="2" xr3:uid="{047441A8-FB52-4C3B-92D7-5558ADCB51FF}" name="Yes" dataDxfId="29"/>
    <tableColumn id="3" xr3:uid="{76B1F9F5-0273-4D5F-8243-5EDE9DF32C7F}" name="1.278" dataDxfId="28"/>
    <tableColumn id="4" xr3:uid="{8EF20A71-CC7B-4A5E-8774-F1E095A4CA0A}" name="0" dataDxfId="27"/>
    <tableColumn id="5" xr3:uid="{74BF2974-8F16-4498-B908-2D2C08C56E35}" name="Kolonne1" dataDxfId="26"/>
    <tableColumn id="6" xr3:uid="{B0D14C3F-8BE2-45C7-B03D-E4EC3BCEAF68}" name="Kolonne2" dataDxfId="25"/>
    <tableColumn id="7" xr3:uid="{DAA1BE00-2A9D-4BEB-808F-E259AF9E12F9}" name="Kolonne3" dataDxfId="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31997C-9521-478C-98A4-A9B6F3B595E4}" name="Tabel36" displayName="Tabel36" ref="A112:C136" totalsRowShown="0" headerRowDxfId="23" dataDxfId="22" headerRowBorderDxfId="20" tableBorderDxfId="21">
  <autoFilter ref="A112:C136" xr:uid="{95B8B41F-51FC-4800-A1A1-F9DC6E2E0492}"/>
  <tableColumns count="3">
    <tableColumn id="1" xr3:uid="{8CA783F1-2B91-4C3A-ACFF-57DC1E25339A}" name="Kolonne1" dataDxfId="19"/>
    <tableColumn id="2" xr3:uid="{EF16301D-1932-4DAD-99C2-3831AB262C7C}" name="Consultant" dataDxfId="18"/>
    <tableColumn id="3" xr3:uid="{19431214-6E20-4A9E-8863-01DBBAEA7F05}" name="Senior Consultant" dataDxfId="17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BEBC9E-28A6-4815-A5B4-3DC64F1748C2}" name="Tabel18" displayName="Tabel18" ref="I6:O107" totalsRowShown="0" headerRowDxfId="16" dataDxfId="15" tableBorderDxfId="14">
  <tableColumns count="7">
    <tableColumn id="1" xr3:uid="{DB08F71B-1908-44A1-B54F-6C30BE530988}" name="3C GROUPS A/S" dataDxfId="13"/>
    <tableColumn id="2" xr3:uid="{C28F522F-297A-42B2-BA82-762905DFE8CB}" name="Yes" dataDxfId="12"/>
    <tableColumn id="3" xr3:uid="{141B9BB1-4ABC-45C0-923F-6C714A22D76A}" name="Kolonne4" dataDxfId="11"/>
    <tableColumn id="4" xr3:uid="{90EFEB94-1F74-4B50-B516-8B27FA24A6A0}" name="0" dataDxfId="10"/>
    <tableColumn id="5" xr3:uid="{48FEE9BB-292C-4E45-B506-544DBF98309C}" name="Kolonne1" dataDxfId="9"/>
    <tableColumn id="6" xr3:uid="{AF70FB94-B1EB-4B4D-B155-13142504722C}" name="Kolonne2" dataDxfId="8"/>
    <tableColumn id="7" xr3:uid="{E08DD2C7-7E3F-4BE1-9A0B-16BC04862DFF}" name="Kolonne3" dataDxf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8FB6F7B-FC24-4E21-9F57-3058B76D9C53}" name="Tabel39" displayName="Tabel39" ref="I112:K136" totalsRowShown="0" headerRowDxfId="6" dataDxfId="5" headerRowBorderDxfId="3" tableBorderDxfId="4">
  <autoFilter ref="I112:K136" xr:uid="{683E33DB-FFE0-4E90-AF84-466F7D24C66F}"/>
  <tableColumns count="3">
    <tableColumn id="1" xr3:uid="{2971C5A0-CA98-48CC-B5A0-0D59A225DB4D}" name="Kolonne1" dataDxfId="2"/>
    <tableColumn id="2" xr3:uid="{B63D797A-878A-44F7-9D9F-0A8CBDC7AB1B}" name="Consultant" dataDxfId="1"/>
    <tableColumn id="3" xr3:uid="{A7197FB8-90A2-42D0-A86D-4EBFAE15C1DE}" name="Senior Consultan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1800-6867-4120-AF68-A537FF928D7A}">
  <dimension ref="A1:N148"/>
  <sheetViews>
    <sheetView tabSelected="1" workbookViewId="0">
      <selection activeCell="G5" sqref="G5"/>
    </sheetView>
  </sheetViews>
  <sheetFormatPr defaultRowHeight="14.45"/>
  <cols>
    <col min="1" max="1" width="29.85546875" customWidth="1"/>
    <col min="2" max="2" width="18.85546875" customWidth="1"/>
    <col min="3" max="3" width="14.85546875" bestFit="1" customWidth="1"/>
    <col min="4" max="4" width="10.28515625" customWidth="1"/>
    <col min="5" max="5" width="22.28515625" customWidth="1"/>
    <col min="6" max="6" width="17.42578125" bestFit="1" customWidth="1"/>
    <col min="7" max="7" width="16.140625" bestFit="1" customWidth="1"/>
    <col min="8" max="8" width="16.140625" customWidth="1"/>
    <col min="9" max="9" width="34.42578125" bestFit="1" customWidth="1"/>
  </cols>
  <sheetData>
    <row r="1" spans="1:10">
      <c r="A1" t="s">
        <v>0</v>
      </c>
    </row>
    <row r="2" spans="1:10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J2" s="2">
        <v>2.1000000000000001E-2</v>
      </c>
    </row>
    <row r="3" spans="1:10">
      <c r="A3" s="69" t="s">
        <v>7</v>
      </c>
      <c r="B3" s="70"/>
      <c r="C3" s="17">
        <v>1531.5</v>
      </c>
      <c r="D3" s="17">
        <v>1786.75</v>
      </c>
      <c r="E3" s="17">
        <v>2042</v>
      </c>
      <c r="F3" s="17">
        <v>2297.25</v>
      </c>
      <c r="G3" s="17">
        <v>1429.4</v>
      </c>
      <c r="H3" s="17">
        <v>1429.4</v>
      </c>
    </row>
    <row r="5" spans="1:10">
      <c r="A5" s="12" t="s">
        <v>8</v>
      </c>
      <c r="B5" s="13"/>
      <c r="C5" s="13" t="s">
        <v>1</v>
      </c>
      <c r="D5" s="13" t="s">
        <v>2</v>
      </c>
      <c r="E5" s="13" t="s">
        <v>3</v>
      </c>
      <c r="F5" s="13" t="s">
        <v>4</v>
      </c>
      <c r="G5" s="13" t="s">
        <v>9</v>
      </c>
      <c r="H5" s="13" t="s">
        <v>10</v>
      </c>
    </row>
    <row r="6" spans="1:10" ht="0.95" customHeight="1">
      <c r="A6" t="s">
        <v>11</v>
      </c>
      <c r="B6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</row>
    <row r="7" spans="1:10">
      <c r="A7" s="15" t="s">
        <v>19</v>
      </c>
      <c r="B7" s="15" t="s">
        <v>20</v>
      </c>
      <c r="C7" s="16"/>
      <c r="D7" s="16">
        <v>1304.838</v>
      </c>
      <c r="E7" s="16">
        <v>0</v>
      </c>
      <c r="F7" s="16"/>
      <c r="G7" s="16"/>
      <c r="H7" s="63"/>
    </row>
    <row r="8" spans="1:10">
      <c r="A8" s="15" t="s">
        <v>21</v>
      </c>
      <c r="B8" s="15" t="s">
        <v>22</v>
      </c>
      <c r="C8" s="16"/>
      <c r="D8" s="16">
        <v>1510.059</v>
      </c>
      <c r="E8" s="16">
        <v>1822.4849999999999</v>
      </c>
      <c r="F8" s="16">
        <v>0</v>
      </c>
      <c r="G8" s="16">
        <v>0</v>
      </c>
      <c r="H8" s="16"/>
    </row>
    <row r="9" spans="1:10">
      <c r="A9" s="15" t="s">
        <v>23</v>
      </c>
      <c r="B9" s="15" t="s">
        <v>20</v>
      </c>
      <c r="C9" s="16"/>
      <c r="D9" s="16">
        <v>1480.45</v>
      </c>
      <c r="E9" s="16">
        <v>1786.75</v>
      </c>
      <c r="F9" s="16">
        <v>1786.75</v>
      </c>
      <c r="G9" s="16">
        <v>2042</v>
      </c>
      <c r="H9" s="16"/>
    </row>
    <row r="10" spans="1:10">
      <c r="A10" s="15" t="s">
        <v>24</v>
      </c>
      <c r="B10" s="15" t="s">
        <v>20</v>
      </c>
      <c r="C10" s="16"/>
      <c r="D10" s="16">
        <v>1197.633</v>
      </c>
      <c r="E10" s="16">
        <v>1353.846</v>
      </c>
      <c r="F10" s="16">
        <v>1510.059</v>
      </c>
      <c r="G10" s="16">
        <v>1353.846</v>
      </c>
      <c r="H10" s="16"/>
    </row>
    <row r="11" spans="1:10">
      <c r="A11" s="15" t="s">
        <v>25</v>
      </c>
      <c r="B11" s="15" t="s">
        <v>20</v>
      </c>
      <c r="C11" s="16"/>
      <c r="D11" s="16">
        <v>1380.92292</v>
      </c>
      <c r="E11" s="16">
        <v>1668.35484</v>
      </c>
      <c r="F11" s="16">
        <v>2014.10628</v>
      </c>
      <c r="G11" s="16">
        <v>1668.35484</v>
      </c>
      <c r="H11" s="16"/>
    </row>
    <row r="12" spans="1:10">
      <c r="A12" s="15" t="s">
        <v>26</v>
      </c>
      <c r="B12" s="15" t="s">
        <v>27</v>
      </c>
      <c r="C12" s="16"/>
      <c r="D12" s="16">
        <v>1324.68624</v>
      </c>
      <c r="E12" s="16">
        <v>1324.68624</v>
      </c>
      <c r="F12" s="16">
        <v>1324.68624</v>
      </c>
      <c r="G12" s="16">
        <v>1324.68624</v>
      </c>
      <c r="H12" s="16"/>
    </row>
    <row r="13" spans="1:10">
      <c r="A13" s="15" t="s">
        <v>28</v>
      </c>
      <c r="B13" s="15" t="s">
        <v>20</v>
      </c>
      <c r="C13" s="16"/>
      <c r="D13" s="16">
        <v>1510.059</v>
      </c>
      <c r="E13" s="16">
        <v>1822.4849999999999</v>
      </c>
      <c r="F13" s="16">
        <v>0</v>
      </c>
      <c r="G13" s="16">
        <v>0</v>
      </c>
      <c r="H13" s="16"/>
    </row>
    <row r="14" spans="1:10">
      <c r="A14" s="15" t="s">
        <v>29</v>
      </c>
      <c r="B14" s="15" t="s">
        <v>20</v>
      </c>
      <c r="C14" s="16"/>
      <c r="D14" s="16">
        <v>1452.7809000000002</v>
      </c>
      <c r="E14" s="16">
        <v>1755.83412</v>
      </c>
      <c r="F14" s="16">
        <v>2120.3311199999998</v>
      </c>
      <c r="G14" s="16">
        <v>0</v>
      </c>
      <c r="H14" s="16"/>
    </row>
    <row r="15" spans="1:10">
      <c r="A15" s="15" t="s">
        <v>30</v>
      </c>
      <c r="B15" s="15" t="s">
        <v>20</v>
      </c>
      <c r="C15" s="16"/>
      <c r="D15" s="16">
        <v>1457.9880000000001</v>
      </c>
      <c r="E15" s="16">
        <v>1822.4849999999999</v>
      </c>
      <c r="F15" s="16">
        <v>2082.84</v>
      </c>
      <c r="G15" s="16">
        <v>1822.4849999999999</v>
      </c>
      <c r="H15" s="16"/>
    </row>
    <row r="16" spans="1:10">
      <c r="A16" s="15" t="s">
        <v>31</v>
      </c>
      <c r="B16" s="15" t="s">
        <v>20</v>
      </c>
      <c r="C16" s="16"/>
      <c r="D16" s="16">
        <v>1280.9466</v>
      </c>
      <c r="E16" s="16">
        <v>0</v>
      </c>
      <c r="F16" s="16">
        <v>0</v>
      </c>
      <c r="G16" s="16">
        <v>0</v>
      </c>
      <c r="H16" s="16"/>
      <c r="I16" t="s">
        <v>32</v>
      </c>
    </row>
    <row r="17" spans="1:9">
      <c r="A17" s="15" t="s">
        <v>33</v>
      </c>
      <c r="B17" s="15" t="s">
        <v>22</v>
      </c>
      <c r="C17" s="16"/>
      <c r="D17" s="16">
        <v>1500</v>
      </c>
      <c r="E17" s="16">
        <v>1750</v>
      </c>
      <c r="F17" s="16"/>
      <c r="G17" s="16"/>
      <c r="H17" s="16"/>
      <c r="I17" s="9">
        <v>46388</v>
      </c>
    </row>
    <row r="18" spans="1:9">
      <c r="A18" s="15" t="s">
        <v>34</v>
      </c>
      <c r="B18" s="15" t="s">
        <v>22</v>
      </c>
      <c r="C18" s="16"/>
      <c r="D18" s="16">
        <v>1480.45</v>
      </c>
      <c r="E18" s="16">
        <v>1786.75</v>
      </c>
      <c r="F18" s="16">
        <v>0</v>
      </c>
      <c r="G18" s="16">
        <v>0</v>
      </c>
      <c r="H18" s="16"/>
      <c r="I18" t="s">
        <v>35</v>
      </c>
    </row>
    <row r="19" spans="1:9">
      <c r="A19" s="15" t="s">
        <v>36</v>
      </c>
      <c r="B19" s="15" t="s">
        <v>20</v>
      </c>
      <c r="C19" s="16"/>
      <c r="D19" s="16">
        <v>1504.1169</v>
      </c>
      <c r="E19" s="16">
        <v>1815.3135</v>
      </c>
      <c r="F19" s="16">
        <v>0</v>
      </c>
      <c r="G19" s="16">
        <v>0</v>
      </c>
      <c r="H19" s="16"/>
    </row>
    <row r="20" spans="1:9">
      <c r="A20" s="15" t="s">
        <v>37</v>
      </c>
      <c r="B20" s="15" t="s">
        <v>22</v>
      </c>
      <c r="C20" s="16"/>
      <c r="D20" s="16">
        <v>1510.059</v>
      </c>
      <c r="E20" s="16">
        <v>1822.4849999999999</v>
      </c>
      <c r="F20" s="16">
        <v>0</v>
      </c>
      <c r="G20" s="16">
        <v>0</v>
      </c>
      <c r="H20" s="16"/>
    </row>
    <row r="21" spans="1:9">
      <c r="A21" s="15" t="s">
        <v>38</v>
      </c>
      <c r="B21" s="15" t="s">
        <v>27</v>
      </c>
      <c r="C21" s="16"/>
      <c r="D21" s="16">
        <v>1331.9761799999999</v>
      </c>
      <c r="E21" s="16">
        <v>0</v>
      </c>
      <c r="F21" s="16">
        <v>0</v>
      </c>
      <c r="G21" s="16">
        <v>0</v>
      </c>
      <c r="H21" s="16"/>
    </row>
    <row r="22" spans="1:9">
      <c r="A22" s="15" t="s">
        <v>39</v>
      </c>
      <c r="B22" s="15" t="s">
        <v>20</v>
      </c>
      <c r="C22" s="16"/>
      <c r="D22" s="16">
        <v>1480.45</v>
      </c>
      <c r="E22" s="16">
        <v>1786.75</v>
      </c>
      <c r="F22" s="16">
        <v>0</v>
      </c>
      <c r="G22" s="16">
        <v>0</v>
      </c>
      <c r="H22" s="16"/>
    </row>
    <row r="23" spans="1:9">
      <c r="A23" s="15" t="s">
        <v>40</v>
      </c>
      <c r="B23" s="15" t="s">
        <v>20</v>
      </c>
      <c r="C23" s="16">
        <v>1531.5</v>
      </c>
      <c r="D23" s="16">
        <v>1786.75</v>
      </c>
      <c r="E23" s="16">
        <v>2042</v>
      </c>
      <c r="F23" s="16">
        <v>2297.25</v>
      </c>
      <c r="G23" s="16">
        <v>0</v>
      </c>
      <c r="H23" s="16"/>
    </row>
    <row r="24" spans="1:9">
      <c r="A24" s="15" t="s">
        <v>41</v>
      </c>
      <c r="B24" s="15" t="s">
        <v>20</v>
      </c>
      <c r="C24" s="16"/>
      <c r="D24" s="16">
        <v>1313.23062</v>
      </c>
      <c r="E24" s="16">
        <v>1313.23062</v>
      </c>
      <c r="F24" s="16">
        <v>0</v>
      </c>
      <c r="G24" s="16">
        <v>0</v>
      </c>
      <c r="H24" s="16"/>
    </row>
    <row r="25" spans="1:9">
      <c r="A25" s="15" t="s">
        <v>42</v>
      </c>
      <c r="B25" s="15" t="s">
        <v>27</v>
      </c>
      <c r="C25" s="16"/>
      <c r="D25" s="16">
        <v>1253.86968</v>
      </c>
      <c r="E25" s="16">
        <v>0</v>
      </c>
      <c r="F25" s="16">
        <v>0</v>
      </c>
      <c r="G25" s="16">
        <v>0</v>
      </c>
      <c r="H25" s="16"/>
    </row>
    <row r="26" spans="1:9">
      <c r="A26" s="15" t="s">
        <v>43</v>
      </c>
      <c r="B26" s="15" t="s">
        <v>27</v>
      </c>
      <c r="C26" s="16"/>
      <c r="D26" s="16">
        <v>1307.9010000000001</v>
      </c>
      <c r="E26" s="16">
        <v>0</v>
      </c>
      <c r="F26" s="16">
        <v>0</v>
      </c>
      <c r="G26" s="16">
        <v>0</v>
      </c>
      <c r="H26" s="16"/>
    </row>
    <row r="27" spans="1:9">
      <c r="A27" s="15" t="s">
        <v>44</v>
      </c>
      <c r="B27" s="15" t="s">
        <v>20</v>
      </c>
      <c r="C27" s="16"/>
      <c r="D27" s="16">
        <v>1409.04126</v>
      </c>
      <c r="E27" s="16">
        <v>1701.68028</v>
      </c>
      <c r="F27" s="16">
        <v>2053.6802400000001</v>
      </c>
      <c r="G27" s="16">
        <v>1701.68028</v>
      </c>
      <c r="H27" s="16"/>
    </row>
    <row r="28" spans="1:9">
      <c r="A28" s="15" t="s">
        <v>45</v>
      </c>
      <c r="B28" s="15" t="s">
        <v>20</v>
      </c>
      <c r="C28" s="16"/>
      <c r="D28" s="16">
        <v>1480.45</v>
      </c>
      <c r="E28" s="16">
        <v>1786.75</v>
      </c>
      <c r="F28" s="16">
        <v>0</v>
      </c>
      <c r="G28" s="16">
        <v>0</v>
      </c>
      <c r="H28" s="16"/>
    </row>
    <row r="29" spans="1:9">
      <c r="A29" s="15" t="s">
        <v>46</v>
      </c>
      <c r="B29" s="15" t="s">
        <v>27</v>
      </c>
      <c r="C29" s="16"/>
      <c r="D29" s="16">
        <v>1331.9761799999999</v>
      </c>
      <c r="E29" s="16">
        <v>0</v>
      </c>
      <c r="F29" s="16">
        <v>0</v>
      </c>
      <c r="G29" s="16">
        <v>0</v>
      </c>
      <c r="H29" s="16"/>
    </row>
    <row r="30" spans="1:9">
      <c r="A30" s="15" t="s">
        <v>47</v>
      </c>
      <c r="B30" s="15" t="s">
        <v>27</v>
      </c>
      <c r="C30" s="16"/>
      <c r="D30" s="16">
        <v>1380.92292</v>
      </c>
      <c r="E30" s="16">
        <v>0</v>
      </c>
      <c r="F30" s="16">
        <v>0</v>
      </c>
      <c r="G30" s="16">
        <v>0</v>
      </c>
      <c r="H30" s="16"/>
    </row>
    <row r="31" spans="1:9">
      <c r="A31" s="15" t="s">
        <v>48</v>
      </c>
      <c r="B31" s="15" t="s">
        <v>20</v>
      </c>
      <c r="C31" s="16"/>
      <c r="D31" s="16">
        <v>1381.413</v>
      </c>
      <c r="E31" s="16">
        <v>1553.962</v>
      </c>
      <c r="F31" s="16">
        <v>1553.962</v>
      </c>
      <c r="G31" s="16">
        <v>1723.4480000000001</v>
      </c>
      <c r="H31" s="16"/>
    </row>
    <row r="32" spans="1:9">
      <c r="A32" s="15" t="s">
        <v>49</v>
      </c>
      <c r="B32" s="15" t="s">
        <v>22</v>
      </c>
      <c r="C32" s="16"/>
      <c r="D32" s="16">
        <v>1510.059</v>
      </c>
      <c r="E32" s="16">
        <v>1822.4849999999999</v>
      </c>
      <c r="F32" s="16">
        <v>0</v>
      </c>
      <c r="G32" s="16">
        <v>0</v>
      </c>
      <c r="H32" s="16"/>
    </row>
    <row r="33" spans="1:9">
      <c r="A33" s="15" t="s">
        <v>50</v>
      </c>
      <c r="B33" s="15" t="s">
        <v>20</v>
      </c>
      <c r="C33" s="16"/>
      <c r="D33" s="16">
        <f>+(195*2.1%)+195</f>
        <v>199.095</v>
      </c>
      <c r="E33" s="16">
        <f>+(235*2.1%)+235</f>
        <v>239.935</v>
      </c>
      <c r="F33" s="16">
        <f>+(265*2.1%)+265</f>
        <v>270.565</v>
      </c>
      <c r="G33" s="16"/>
      <c r="H33" s="16"/>
      <c r="I33" t="s">
        <v>51</v>
      </c>
    </row>
    <row r="34" spans="1:9">
      <c r="A34" s="15" t="s">
        <v>52</v>
      </c>
      <c r="B34" s="15" t="s">
        <v>27</v>
      </c>
      <c r="C34" s="16"/>
      <c r="D34" s="16">
        <v>1274.6980800000001</v>
      </c>
      <c r="E34" s="16">
        <v>0</v>
      </c>
      <c r="F34" s="16">
        <v>0</v>
      </c>
      <c r="G34" s="16">
        <v>0</v>
      </c>
      <c r="H34" s="16"/>
      <c r="I34" t="s">
        <v>51</v>
      </c>
    </row>
    <row r="35" spans="1:9">
      <c r="A35" s="15" t="s">
        <v>53</v>
      </c>
      <c r="B35" s="15"/>
      <c r="C35" s="16"/>
      <c r="D35" s="16">
        <v>187.97631000000001</v>
      </c>
      <c r="E35" s="16">
        <v>0</v>
      </c>
      <c r="F35" s="16">
        <v>0</v>
      </c>
      <c r="G35" s="16">
        <v>0</v>
      </c>
      <c r="H35" s="16"/>
    </row>
    <row r="36" spans="1:9">
      <c r="A36" s="15" t="s">
        <v>54</v>
      </c>
      <c r="B36" s="15" t="s">
        <v>20</v>
      </c>
      <c r="C36" s="16">
        <v>1531.5</v>
      </c>
      <c r="D36" s="16">
        <v>1786.75</v>
      </c>
      <c r="E36" s="16">
        <v>2042</v>
      </c>
      <c r="F36" s="16">
        <v>2297.25</v>
      </c>
      <c r="G36" s="16">
        <v>0</v>
      </c>
      <c r="H36" s="16"/>
    </row>
    <row r="37" spans="1:9">
      <c r="A37" s="15" t="s">
        <v>55</v>
      </c>
      <c r="B37" s="15" t="s">
        <v>20</v>
      </c>
      <c r="C37" s="16"/>
      <c r="D37" s="16">
        <v>1380.92292</v>
      </c>
      <c r="E37" s="16">
        <v>1540.26018</v>
      </c>
      <c r="F37" s="16">
        <v>1858.9347</v>
      </c>
      <c r="G37" s="16">
        <v>1540.26018</v>
      </c>
      <c r="H37" s="16"/>
    </row>
    <row r="38" spans="1:9">
      <c r="A38" s="15" t="s">
        <v>56</v>
      </c>
      <c r="B38" s="15" t="s">
        <v>20</v>
      </c>
      <c r="C38" s="16"/>
      <c r="D38" s="16">
        <v>1510.059</v>
      </c>
      <c r="E38" s="16">
        <v>1822.4849999999999</v>
      </c>
      <c r="F38" s="16">
        <v>0</v>
      </c>
      <c r="G38" s="16">
        <v>0</v>
      </c>
      <c r="H38" s="16"/>
    </row>
    <row r="39" spans="1:9">
      <c r="A39" s="15" t="s">
        <v>57</v>
      </c>
      <c r="B39" s="15" t="s">
        <v>27</v>
      </c>
      <c r="C39" s="16"/>
      <c r="D39" s="16">
        <v>1351.76316</v>
      </c>
      <c r="E39" s="16">
        <v>0</v>
      </c>
      <c r="F39" s="16">
        <v>0</v>
      </c>
      <c r="G39" s="16">
        <v>0</v>
      </c>
      <c r="H39" s="16"/>
    </row>
    <row r="40" spans="1:9">
      <c r="A40" s="15" t="s">
        <v>58</v>
      </c>
      <c r="B40" s="15" t="s">
        <v>20</v>
      </c>
      <c r="C40" s="16"/>
      <c r="D40" s="16">
        <v>1701.68028</v>
      </c>
      <c r="E40" s="16">
        <v>2053.6802400000001</v>
      </c>
      <c r="F40" s="16">
        <v>2347.3606799999998</v>
      </c>
      <c r="G40" s="16">
        <v>2053.6802400000001</v>
      </c>
      <c r="H40" s="16"/>
    </row>
    <row r="41" spans="1:9">
      <c r="A41" s="15" t="s">
        <v>59</v>
      </c>
      <c r="B41" s="15" t="s">
        <v>20</v>
      </c>
      <c r="C41" s="16"/>
      <c r="D41" s="16">
        <v>1452.7809000000002</v>
      </c>
      <c r="E41" s="16">
        <v>1755.83412</v>
      </c>
      <c r="F41" s="16">
        <v>0</v>
      </c>
      <c r="G41" s="16">
        <v>0</v>
      </c>
      <c r="H41" s="16"/>
    </row>
    <row r="42" spans="1:9">
      <c r="A42" s="15" t="s">
        <v>60</v>
      </c>
      <c r="B42" s="15" t="s">
        <v>20</v>
      </c>
      <c r="C42" s="16"/>
      <c r="D42" s="16">
        <v>1480.45</v>
      </c>
      <c r="E42" s="16">
        <v>1786.75</v>
      </c>
      <c r="F42" s="16">
        <v>0</v>
      </c>
      <c r="G42" s="16">
        <v>0</v>
      </c>
      <c r="H42" s="16"/>
    </row>
    <row r="43" spans="1:9">
      <c r="A43" s="15" t="s">
        <v>61</v>
      </c>
      <c r="B43" s="15" t="s">
        <v>20</v>
      </c>
      <c r="C43" s="16"/>
      <c r="D43" s="16">
        <v>1514.22468</v>
      </c>
      <c r="E43" s="16">
        <v>1635.0294000000001</v>
      </c>
      <c r="F43" s="16">
        <v>0</v>
      </c>
      <c r="G43" s="16">
        <v>0</v>
      </c>
      <c r="H43" s="16"/>
    </row>
    <row r="44" spans="1:9">
      <c r="A44" s="15" t="s">
        <v>62</v>
      </c>
      <c r="B44" s="15" t="s">
        <v>20</v>
      </c>
      <c r="C44" s="16"/>
      <c r="D44" s="16">
        <v>1417</v>
      </c>
      <c r="E44" s="16">
        <v>1709</v>
      </c>
      <c r="F44" s="16">
        <v>0</v>
      </c>
      <c r="G44" s="16">
        <v>1709</v>
      </c>
      <c r="H44" s="16"/>
    </row>
    <row r="45" spans="1:9">
      <c r="A45" s="15" t="s">
        <v>63</v>
      </c>
      <c r="B45" s="15" t="s">
        <v>20</v>
      </c>
      <c r="C45" s="16"/>
      <c r="D45" s="16">
        <v>1480.45</v>
      </c>
      <c r="E45" s="16">
        <v>1786.75</v>
      </c>
      <c r="F45" s="16">
        <v>2042</v>
      </c>
      <c r="G45" s="16">
        <v>1786.75</v>
      </c>
      <c r="H45" s="16"/>
    </row>
    <row r="46" spans="1:9">
      <c r="A46" s="15" t="s">
        <v>64</v>
      </c>
      <c r="B46" s="15" t="s">
        <v>20</v>
      </c>
      <c r="C46" s="16"/>
      <c r="D46" s="16">
        <v>1510.059</v>
      </c>
      <c r="E46" s="16">
        <v>1822.4849999999999</v>
      </c>
      <c r="F46" s="16">
        <v>0</v>
      </c>
      <c r="G46" s="16">
        <v>0</v>
      </c>
      <c r="H46" s="16"/>
    </row>
    <row r="47" spans="1:9">
      <c r="A47" s="15" t="s">
        <v>65</v>
      </c>
      <c r="B47" s="15" t="s">
        <v>20</v>
      </c>
      <c r="C47" s="16"/>
      <c r="D47" s="16">
        <v>1409.04126</v>
      </c>
      <c r="E47" s="16">
        <v>1701.68028</v>
      </c>
      <c r="F47" s="16">
        <v>2053.6802400000001</v>
      </c>
      <c r="G47" s="16">
        <v>0</v>
      </c>
      <c r="H47" s="16"/>
    </row>
    <row r="48" spans="1:9">
      <c r="A48" s="15" t="s">
        <v>66</v>
      </c>
      <c r="B48" s="15" t="s">
        <v>22</v>
      </c>
      <c r="C48" s="16"/>
      <c r="D48" s="16">
        <v>1480.45</v>
      </c>
      <c r="E48" s="16">
        <v>1786.75</v>
      </c>
      <c r="F48" s="16">
        <v>0</v>
      </c>
      <c r="G48" s="16">
        <v>0</v>
      </c>
      <c r="H48" s="16"/>
    </row>
    <row r="49" spans="1:9">
      <c r="A49" s="15" t="s">
        <v>67</v>
      </c>
      <c r="B49" s="15" t="s">
        <v>20</v>
      </c>
      <c r="C49" s="16"/>
      <c r="D49" s="16">
        <v>1274.6980800000001</v>
      </c>
      <c r="E49" s="16">
        <v>1597.53828</v>
      </c>
      <c r="F49" s="16">
        <v>0</v>
      </c>
      <c r="G49" s="16">
        <v>0</v>
      </c>
      <c r="H49" s="16"/>
    </row>
    <row r="50" spans="1:9">
      <c r="A50" s="15" t="s">
        <v>68</v>
      </c>
      <c r="B50" s="15" t="s">
        <v>20</v>
      </c>
      <c r="C50" s="16"/>
      <c r="D50" s="16">
        <v>1540.26018</v>
      </c>
      <c r="E50" s="16">
        <v>1858.9347</v>
      </c>
      <c r="F50" s="16">
        <v>0</v>
      </c>
      <c r="G50" s="16">
        <v>0</v>
      </c>
      <c r="H50" s="16"/>
    </row>
    <row r="51" spans="1:9">
      <c r="A51" s="15" t="s">
        <v>69</v>
      </c>
      <c r="B51" s="15" t="s">
        <v>20</v>
      </c>
      <c r="C51" s="16"/>
      <c r="D51" s="16">
        <v>1409.04126</v>
      </c>
      <c r="E51" s="16">
        <v>1409.04126</v>
      </c>
      <c r="F51" s="16">
        <v>1409.04126</v>
      </c>
      <c r="G51" s="16">
        <v>1701.68028</v>
      </c>
      <c r="H51" s="16"/>
    </row>
    <row r="52" spans="1:9">
      <c r="A52" s="15" t="s">
        <v>70</v>
      </c>
      <c r="B52" s="15" t="s">
        <v>20</v>
      </c>
      <c r="C52" s="16"/>
      <c r="D52" s="16">
        <v>1288.2365400000001</v>
      </c>
      <c r="E52" s="16">
        <v>1288.2365400000001</v>
      </c>
      <c r="F52" s="16">
        <v>1288.2365400000001</v>
      </c>
      <c r="G52" s="16">
        <v>1288.2365400000001</v>
      </c>
      <c r="H52" s="16"/>
    </row>
    <row r="53" spans="1:9">
      <c r="A53" s="15" t="s">
        <v>71</v>
      </c>
      <c r="B53" s="15" t="s">
        <v>20</v>
      </c>
      <c r="C53" s="16"/>
      <c r="D53" s="16">
        <v>1409.04126</v>
      </c>
      <c r="E53" s="16">
        <v>1701.68028</v>
      </c>
      <c r="F53" s="16">
        <v>0</v>
      </c>
      <c r="G53" s="16">
        <v>0</v>
      </c>
      <c r="H53" s="16"/>
    </row>
    <row r="54" spans="1:9">
      <c r="A54" s="15" t="s">
        <v>72</v>
      </c>
      <c r="B54" s="15" t="s">
        <v>20</v>
      </c>
      <c r="C54" s="16"/>
      <c r="D54" s="16">
        <v>1255.9525199999998</v>
      </c>
      <c r="E54" s="16">
        <v>1517.3489400000001</v>
      </c>
      <c r="F54" s="16">
        <v>1831.85778</v>
      </c>
      <c r="G54" s="16">
        <v>0</v>
      </c>
      <c r="H54" s="16"/>
    </row>
    <row r="55" spans="1:9">
      <c r="A55" s="15" t="s">
        <v>73</v>
      </c>
      <c r="B55" s="15" t="s">
        <v>20</v>
      </c>
      <c r="C55" s="16"/>
      <c r="D55" s="16">
        <v>1480.45</v>
      </c>
      <c r="E55" s="16">
        <v>1786.75</v>
      </c>
      <c r="F55" s="16">
        <v>0</v>
      </c>
      <c r="G55" s="16">
        <v>0</v>
      </c>
      <c r="H55" s="16"/>
    </row>
    <row r="56" spans="1:9">
      <c r="A56" s="15" t="s">
        <v>74</v>
      </c>
      <c r="B56" s="15" t="s">
        <v>20</v>
      </c>
      <c r="C56" s="16"/>
      <c r="D56" s="16">
        <v>1452.7809000000002</v>
      </c>
      <c r="E56" s="16">
        <v>1755.83412</v>
      </c>
      <c r="F56" s="16">
        <v>1755.83412</v>
      </c>
      <c r="G56" s="16">
        <v>0</v>
      </c>
      <c r="H56" s="16"/>
    </row>
    <row r="57" spans="1:9">
      <c r="A57" s="15" t="s">
        <v>75</v>
      </c>
      <c r="B57" s="15" t="s">
        <v>27</v>
      </c>
      <c r="C57" s="16"/>
      <c r="D57" s="16">
        <v>1274.6980800000001</v>
      </c>
      <c r="E57" s="16">
        <v>0</v>
      </c>
      <c r="F57" s="16">
        <v>0</v>
      </c>
      <c r="G57" s="16">
        <v>0</v>
      </c>
      <c r="H57" s="16"/>
      <c r="I57" t="s">
        <v>76</v>
      </c>
    </row>
    <row r="58" spans="1:9">
      <c r="A58" s="15" t="s">
        <v>75</v>
      </c>
      <c r="B58" s="15" t="s">
        <v>20</v>
      </c>
      <c r="C58" s="16"/>
      <c r="D58" s="16">
        <v>1274.6980800000001</v>
      </c>
      <c r="E58" s="16">
        <v>1274.6980800000001</v>
      </c>
      <c r="F58" s="16">
        <v>0</v>
      </c>
      <c r="G58" s="16">
        <v>0</v>
      </c>
      <c r="H58" s="16"/>
    </row>
    <row r="59" spans="1:9">
      <c r="A59" s="15" t="s">
        <v>77</v>
      </c>
      <c r="B59" s="15" t="s">
        <v>20</v>
      </c>
      <c r="C59" s="16"/>
      <c r="D59" s="16">
        <v>1409.04126</v>
      </c>
      <c r="E59" s="16">
        <v>1701.68028</v>
      </c>
      <c r="F59" s="16">
        <v>2053.6802400000001</v>
      </c>
      <c r="G59" s="16">
        <v>1701.68028</v>
      </c>
      <c r="H59" s="16"/>
    </row>
    <row r="60" spans="1:9">
      <c r="A60" s="15" t="s">
        <v>78</v>
      </c>
      <c r="B60" s="15" t="s">
        <v>20</v>
      </c>
      <c r="C60" s="16"/>
      <c r="D60" s="16">
        <v>1480.45</v>
      </c>
      <c r="E60" s="16">
        <v>1786.75</v>
      </c>
      <c r="F60" s="16">
        <v>0</v>
      </c>
      <c r="G60" s="16">
        <v>0</v>
      </c>
      <c r="H60" s="16"/>
    </row>
    <row r="61" spans="1:9">
      <c r="A61" s="15" t="s">
        <v>79</v>
      </c>
      <c r="B61" s="15" t="s">
        <v>20</v>
      </c>
      <c r="C61" s="16"/>
      <c r="D61" s="16">
        <v>1391.3371200000001</v>
      </c>
      <c r="E61" s="16">
        <v>1636.0708200000001</v>
      </c>
      <c r="F61" s="16">
        <v>1636.0708200000001</v>
      </c>
      <c r="G61" s="16">
        <v>0</v>
      </c>
      <c r="H61" s="16"/>
      <c r="I61" t="s">
        <v>80</v>
      </c>
    </row>
    <row r="62" spans="1:9">
      <c r="A62" s="15" t="s">
        <v>81</v>
      </c>
      <c r="B62" s="15" t="s">
        <v>82</v>
      </c>
      <c r="C62" s="16"/>
      <c r="D62" s="16">
        <v>1322.6034000000002</v>
      </c>
      <c r="E62" s="16">
        <v>0</v>
      </c>
      <c r="F62" s="16">
        <v>0</v>
      </c>
      <c r="G62" s="16">
        <v>0</v>
      </c>
      <c r="H62" s="16"/>
      <c r="I62" t="s">
        <v>83</v>
      </c>
    </row>
    <row r="63" spans="1:9">
      <c r="A63" s="15" t="s">
        <v>81</v>
      </c>
      <c r="B63" s="15" t="s">
        <v>82</v>
      </c>
      <c r="C63" s="16"/>
      <c r="D63" s="16">
        <v>1531.5</v>
      </c>
      <c r="E63" s="16">
        <v>0</v>
      </c>
      <c r="F63" s="16">
        <v>0</v>
      </c>
      <c r="G63" s="16">
        <v>0</v>
      </c>
      <c r="H63" s="16"/>
    </row>
    <row r="64" spans="1:9">
      <c r="A64" s="15" t="s">
        <v>84</v>
      </c>
      <c r="B64" s="15" t="s">
        <v>20</v>
      </c>
      <c r="C64" s="16"/>
      <c r="D64" s="16">
        <v>1510.059</v>
      </c>
      <c r="E64" s="16">
        <v>1822.4849999999999</v>
      </c>
      <c r="F64" s="16">
        <v>0</v>
      </c>
      <c r="G64" s="16">
        <v>0</v>
      </c>
      <c r="H64" s="16"/>
    </row>
    <row r="65" spans="1:14">
      <c r="A65" s="15" t="s">
        <v>85</v>
      </c>
      <c r="B65" s="15" t="s">
        <v>22</v>
      </c>
      <c r="C65" s="16"/>
      <c r="D65" s="16">
        <v>1525.6803</v>
      </c>
      <c r="E65" s="16">
        <v>1843.3134</v>
      </c>
      <c r="F65" s="16">
        <v>2224.759</v>
      </c>
      <c r="G65" s="16">
        <v>1525.374</v>
      </c>
      <c r="H65" s="16"/>
    </row>
    <row r="66" spans="1:14">
      <c r="A66" s="15" t="s">
        <v>86</v>
      </c>
      <c r="B66" s="15" t="s">
        <v>20</v>
      </c>
      <c r="C66" s="16"/>
      <c r="D66" s="16">
        <v>1409.04126</v>
      </c>
      <c r="E66" s="16">
        <v>1701.68028</v>
      </c>
      <c r="F66" s="16">
        <v>2053.6802400000001</v>
      </c>
      <c r="G66" s="16">
        <v>1701.68028</v>
      </c>
      <c r="H66" s="16"/>
      <c r="I66" s="9">
        <v>46388</v>
      </c>
    </row>
    <row r="67" spans="1:14">
      <c r="A67" s="15" t="s">
        <v>87</v>
      </c>
      <c r="B67" s="15" t="s">
        <v>20</v>
      </c>
      <c r="C67" s="16"/>
      <c r="D67" s="16">
        <v>1750</v>
      </c>
      <c r="E67" s="16">
        <v>2000</v>
      </c>
      <c r="F67" s="16">
        <v>0</v>
      </c>
      <c r="G67" s="16">
        <v>0</v>
      </c>
      <c r="H67" s="16"/>
    </row>
    <row r="68" spans="1:14">
      <c r="A68" s="15" t="s">
        <v>88</v>
      </c>
      <c r="B68" s="15" t="s">
        <v>20</v>
      </c>
      <c r="C68" s="16">
        <v>1531.5</v>
      </c>
      <c r="D68" s="16">
        <v>1786.75</v>
      </c>
      <c r="E68" s="16">
        <v>2042</v>
      </c>
      <c r="F68" s="16">
        <v>2297.25</v>
      </c>
      <c r="G68" s="16">
        <v>0</v>
      </c>
      <c r="H68" s="16"/>
      <c r="I68" s="7" t="s">
        <v>89</v>
      </c>
      <c r="J68" s="3"/>
      <c r="K68" s="3"/>
      <c r="L68" s="3"/>
      <c r="M68" s="3"/>
      <c r="N68" s="3"/>
    </row>
    <row r="69" spans="1:14">
      <c r="A69" s="15" t="s">
        <v>90</v>
      </c>
      <c r="B69" s="15" t="s">
        <v>27</v>
      </c>
      <c r="C69" s="15"/>
      <c r="D69" s="15" t="s">
        <v>91</v>
      </c>
      <c r="E69" s="15" t="s">
        <v>92</v>
      </c>
      <c r="F69" s="15">
        <v>0</v>
      </c>
      <c r="G69" s="15">
        <v>0</v>
      </c>
      <c r="H69" s="16"/>
    </row>
    <row r="70" spans="1:14">
      <c r="A70" s="15" t="s">
        <v>93</v>
      </c>
      <c r="B70" s="15" t="s">
        <v>20</v>
      </c>
      <c r="C70" s="15"/>
      <c r="D70" s="16">
        <v>1359.0530999999999</v>
      </c>
      <c r="E70" s="16">
        <v>1640.2365</v>
      </c>
      <c r="F70" s="16">
        <v>0</v>
      </c>
      <c r="G70" s="16">
        <v>0</v>
      </c>
      <c r="H70" s="16"/>
      <c r="I70" t="s">
        <v>94</v>
      </c>
    </row>
    <row r="71" spans="1:14">
      <c r="A71" s="15" t="s">
        <v>95</v>
      </c>
      <c r="B71" s="15" t="s">
        <v>27</v>
      </c>
      <c r="C71" s="15"/>
      <c r="D71" s="16">
        <v>1264.28388</v>
      </c>
      <c r="E71" s="16">
        <v>0</v>
      </c>
      <c r="F71" s="16">
        <v>0</v>
      </c>
      <c r="G71" s="16">
        <v>0</v>
      </c>
      <c r="H71" s="16"/>
    </row>
    <row r="72" spans="1:14">
      <c r="A72" s="15" t="s">
        <v>96</v>
      </c>
      <c r="B72" s="15" t="s">
        <v>27</v>
      </c>
      <c r="C72" s="15"/>
      <c r="D72" s="16">
        <v>1283.02944</v>
      </c>
      <c r="E72" s="16">
        <v>0</v>
      </c>
      <c r="F72" s="16">
        <v>0</v>
      </c>
      <c r="G72" s="16">
        <v>0</v>
      </c>
      <c r="H72" s="16"/>
    </row>
    <row r="73" spans="1:14">
      <c r="A73" s="15" t="s">
        <v>97</v>
      </c>
      <c r="B73" s="15" t="s">
        <v>20</v>
      </c>
      <c r="C73" s="15"/>
      <c r="D73" s="16">
        <v>1510.059</v>
      </c>
      <c r="E73" s="16">
        <v>1822.4849999999999</v>
      </c>
      <c r="F73" s="16">
        <v>0</v>
      </c>
      <c r="G73" s="16">
        <v>0</v>
      </c>
      <c r="H73" s="16"/>
    </row>
    <row r="74" spans="1:14">
      <c r="A74" s="15" t="s">
        <v>98</v>
      </c>
      <c r="B74" s="15" t="s">
        <v>20</v>
      </c>
      <c r="C74" s="15"/>
      <c r="D74" s="16">
        <v>1540.26018</v>
      </c>
      <c r="E74" s="16">
        <v>1858.9347</v>
      </c>
      <c r="F74" s="16">
        <v>0</v>
      </c>
      <c r="G74" s="16">
        <v>0</v>
      </c>
      <c r="H74" s="16"/>
    </row>
    <row r="75" spans="1:14">
      <c r="A75" s="15" t="s">
        <v>99</v>
      </c>
      <c r="B75" s="15" t="s">
        <v>22</v>
      </c>
      <c r="C75" s="15"/>
      <c r="D75" s="16">
        <v>1390.6020000000001</v>
      </c>
      <c r="E75" s="16">
        <v>1508.0170000000001</v>
      </c>
      <c r="F75" s="16">
        <v>0</v>
      </c>
      <c r="G75" s="16">
        <v>0</v>
      </c>
      <c r="H75" s="16"/>
    </row>
    <row r="76" spans="1:14">
      <c r="A76" s="15" t="s">
        <v>100</v>
      </c>
      <c r="B76" s="15" t="s">
        <v>20</v>
      </c>
      <c r="C76" s="15"/>
      <c r="D76" s="16">
        <v>1450</v>
      </c>
      <c r="E76" s="16">
        <v>1750</v>
      </c>
      <c r="F76" s="16">
        <v>0</v>
      </c>
      <c r="G76" s="16">
        <v>0</v>
      </c>
      <c r="H76" s="16"/>
    </row>
    <row r="77" spans="1:14">
      <c r="A77" s="15" t="s">
        <v>101</v>
      </c>
      <c r="B77" s="15" t="s">
        <v>20</v>
      </c>
      <c r="C77" s="15"/>
      <c r="D77" s="16">
        <v>1313.23062</v>
      </c>
      <c r="E77" s="16">
        <v>0</v>
      </c>
      <c r="F77" s="16">
        <v>0</v>
      </c>
      <c r="G77" s="16">
        <v>0</v>
      </c>
      <c r="H77" s="16"/>
    </row>
    <row r="78" spans="1:14">
      <c r="A78" s="15" t="s">
        <v>102</v>
      </c>
      <c r="B78" s="15" t="s">
        <v>20</v>
      </c>
      <c r="C78" s="15"/>
      <c r="D78" s="16">
        <v>1540.26018</v>
      </c>
      <c r="E78" s="16">
        <v>1858.9347</v>
      </c>
      <c r="F78" s="16">
        <v>0</v>
      </c>
      <c r="G78" s="16">
        <v>0</v>
      </c>
      <c r="H78" s="16"/>
    </row>
    <row r="79" spans="1:14">
      <c r="A79" s="15" t="s">
        <v>103</v>
      </c>
      <c r="B79" s="15" t="s">
        <v>20</v>
      </c>
      <c r="C79" s="15"/>
      <c r="D79" s="16">
        <v>1452.7809000000002</v>
      </c>
      <c r="E79" s="16">
        <v>1755.83412</v>
      </c>
      <c r="F79" s="16">
        <v>2120.3311199999998</v>
      </c>
      <c r="G79" s="16">
        <v>1755.83412</v>
      </c>
      <c r="H79" s="16"/>
    </row>
    <row r="80" spans="1:14">
      <c r="A80" s="15" t="s">
        <v>104</v>
      </c>
      <c r="B80" s="15" t="s">
        <v>20</v>
      </c>
      <c r="C80" s="15"/>
      <c r="D80" s="16">
        <v>1510.059</v>
      </c>
      <c r="E80" s="16">
        <v>1822.4849999999999</v>
      </c>
      <c r="F80" s="16">
        <v>0</v>
      </c>
      <c r="G80" s="16">
        <v>0</v>
      </c>
      <c r="H80" s="16"/>
    </row>
    <row r="81" spans="1:9">
      <c r="A81" s="15" t="s">
        <v>105</v>
      </c>
      <c r="B81" s="15" t="s">
        <v>20</v>
      </c>
      <c r="C81" s="15"/>
      <c r="D81" s="16">
        <v>1540.6890000000001</v>
      </c>
      <c r="E81" s="16">
        <v>1859.241</v>
      </c>
      <c r="F81" s="16">
        <v>0</v>
      </c>
      <c r="G81" s="16">
        <v>0</v>
      </c>
      <c r="H81" s="16"/>
    </row>
    <row r="82" spans="1:9">
      <c r="A82" s="15" t="s">
        <v>106</v>
      </c>
      <c r="B82" s="15" t="s">
        <v>20</v>
      </c>
      <c r="C82" s="15"/>
      <c r="D82" s="16">
        <v>1480.45</v>
      </c>
      <c r="E82" s="16">
        <v>1786.75</v>
      </c>
      <c r="F82" s="16">
        <v>0</v>
      </c>
      <c r="G82" s="16">
        <v>0</v>
      </c>
      <c r="H82" s="16"/>
    </row>
    <row r="83" spans="1:9">
      <c r="A83" s="15" t="s">
        <v>107</v>
      </c>
      <c r="B83" s="15" t="s">
        <v>20</v>
      </c>
      <c r="C83" s="15"/>
      <c r="D83" s="16">
        <v>1510.059</v>
      </c>
      <c r="E83" s="16">
        <v>1822.4849999999999</v>
      </c>
      <c r="F83" s="16">
        <v>0</v>
      </c>
      <c r="G83" s="16">
        <v>0</v>
      </c>
      <c r="H83" s="16"/>
    </row>
    <row r="84" spans="1:9">
      <c r="A84" s="15" t="s">
        <v>108</v>
      </c>
      <c r="B84" s="15" t="s">
        <v>27</v>
      </c>
      <c r="C84" s="15"/>
      <c r="D84" s="16">
        <v>1331.9761799999999</v>
      </c>
      <c r="E84" s="16">
        <v>0</v>
      </c>
      <c r="F84" s="16">
        <v>1507.9761599999999</v>
      </c>
      <c r="G84" s="16">
        <v>0</v>
      </c>
      <c r="H84" s="16"/>
      <c r="I84" t="s">
        <v>109</v>
      </c>
    </row>
    <row r="85" spans="1:9">
      <c r="A85" s="15" t="s">
        <v>108</v>
      </c>
      <c r="B85" s="15" t="s">
        <v>27</v>
      </c>
      <c r="C85" s="15"/>
      <c r="D85" s="16">
        <v>1331.9761799999999</v>
      </c>
      <c r="E85" s="16">
        <v>0</v>
      </c>
      <c r="F85" s="16">
        <v>0</v>
      </c>
      <c r="G85" s="16">
        <v>0</v>
      </c>
      <c r="H85" s="16"/>
    </row>
    <row r="86" spans="1:9">
      <c r="A86" s="15" t="s">
        <v>110</v>
      </c>
      <c r="B86" s="15" t="s">
        <v>20</v>
      </c>
      <c r="C86" s="15"/>
      <c r="D86" s="16">
        <v>1409.04126</v>
      </c>
      <c r="E86" s="16">
        <v>1701.68028</v>
      </c>
      <c r="F86" s="16">
        <v>2053.6802400000001</v>
      </c>
      <c r="G86" s="16">
        <v>1701.68028</v>
      </c>
      <c r="H86" s="16"/>
      <c r="I86" s="14" t="s">
        <v>111</v>
      </c>
    </row>
    <row r="87" spans="1:9">
      <c r="A87" s="15" t="s">
        <v>112</v>
      </c>
      <c r="B87" s="15" t="s">
        <v>20</v>
      </c>
      <c r="C87" s="15"/>
      <c r="D87" s="16">
        <v>1350</v>
      </c>
      <c r="E87" s="16">
        <v>1575</v>
      </c>
      <c r="F87" s="16">
        <v>1800</v>
      </c>
      <c r="G87" s="16">
        <v>2025</v>
      </c>
      <c r="H87" s="16">
        <v>1260</v>
      </c>
    </row>
    <row r="88" spans="1:9">
      <c r="A88" s="15" t="s">
        <v>113</v>
      </c>
      <c r="B88" s="15" t="s">
        <v>27</v>
      </c>
      <c r="C88" s="15"/>
      <c r="D88" s="16">
        <v>1331.9761799999999</v>
      </c>
      <c r="E88" s="16">
        <v>0</v>
      </c>
      <c r="F88" s="16">
        <v>0</v>
      </c>
      <c r="G88" s="16">
        <v>0</v>
      </c>
      <c r="H88" s="16"/>
    </row>
    <row r="89" spans="1:9">
      <c r="A89" s="15" t="s">
        <v>114</v>
      </c>
      <c r="B89" s="15" t="s">
        <v>27</v>
      </c>
      <c r="C89" s="15"/>
      <c r="D89" s="16">
        <v>1245.5383200000001</v>
      </c>
      <c r="E89" s="16">
        <v>0</v>
      </c>
      <c r="F89" s="16">
        <v>0</v>
      </c>
      <c r="G89" s="16">
        <v>0</v>
      </c>
      <c r="H89" s="16"/>
    </row>
    <row r="90" spans="1:9">
      <c r="A90" s="15" t="s">
        <v>115</v>
      </c>
      <c r="B90" s="15" t="s">
        <v>22</v>
      </c>
      <c r="C90" s="15"/>
      <c r="D90" s="16">
        <v>1480.45</v>
      </c>
      <c r="E90" s="16">
        <v>1786.75</v>
      </c>
      <c r="F90" s="16">
        <v>0</v>
      </c>
      <c r="G90" s="16">
        <v>0</v>
      </c>
      <c r="H90" s="16"/>
    </row>
    <row r="91" spans="1:9">
      <c r="A91" s="15" t="s">
        <v>116</v>
      </c>
      <c r="B91" s="15" t="s">
        <v>22</v>
      </c>
      <c r="C91" s="15"/>
      <c r="D91" s="16">
        <v>1245.6199999999999</v>
      </c>
      <c r="E91" s="16">
        <v>1245.6199999999999</v>
      </c>
      <c r="F91" s="16">
        <v>1245.6199999999999</v>
      </c>
      <c r="G91" s="16">
        <v>0</v>
      </c>
      <c r="H91" s="16"/>
      <c r="I91" s="1" t="s">
        <v>117</v>
      </c>
    </row>
    <row r="92" spans="1:9">
      <c r="A92" s="15" t="s">
        <v>118</v>
      </c>
      <c r="B92" s="15" t="s">
        <v>20</v>
      </c>
      <c r="C92" s="15"/>
      <c r="D92" s="16">
        <v>188.49701999999999</v>
      </c>
      <c r="E92" s="16">
        <v>220.78104000000002</v>
      </c>
      <c r="F92" s="16">
        <v>220.78104000000002</v>
      </c>
      <c r="G92" s="16">
        <v>0</v>
      </c>
      <c r="H92" s="16"/>
    </row>
    <row r="93" spans="1:9">
      <c r="A93" s="15" t="s">
        <v>119</v>
      </c>
      <c r="B93" s="15" t="s">
        <v>20</v>
      </c>
      <c r="C93" s="15"/>
      <c r="D93" s="16">
        <v>1540.26018</v>
      </c>
      <c r="E93" s="16">
        <v>1858.9347</v>
      </c>
      <c r="F93" s="16">
        <v>0</v>
      </c>
      <c r="G93" s="16">
        <v>0</v>
      </c>
      <c r="H93" s="16"/>
    </row>
    <row r="94" spans="1:9">
      <c r="A94" s="15" t="s">
        <v>120</v>
      </c>
      <c r="B94" s="15" t="s">
        <v>20</v>
      </c>
      <c r="C94" s="15"/>
      <c r="D94" s="16">
        <v>1510.059</v>
      </c>
      <c r="E94" s="16">
        <v>1822.4849999999999</v>
      </c>
      <c r="F94" s="16">
        <v>0</v>
      </c>
      <c r="G94" s="16">
        <v>0</v>
      </c>
      <c r="H94" s="16"/>
    </row>
    <row r="95" spans="1:9">
      <c r="A95" s="15" t="s">
        <v>121</v>
      </c>
      <c r="B95" s="15" t="s">
        <v>20</v>
      </c>
      <c r="C95" s="15"/>
      <c r="D95" s="16">
        <v>1540.26018</v>
      </c>
      <c r="E95" s="16">
        <v>1858.9347</v>
      </c>
      <c r="F95" s="16">
        <v>0</v>
      </c>
      <c r="G95" s="16">
        <v>0</v>
      </c>
      <c r="H95" s="16"/>
    </row>
    <row r="96" spans="1:9">
      <c r="A96" s="15" t="s">
        <v>122</v>
      </c>
      <c r="B96" s="15" t="s">
        <v>22</v>
      </c>
      <c r="C96" s="15"/>
      <c r="D96" s="16">
        <v>1385.0885999999998</v>
      </c>
      <c r="E96" s="16">
        <v>0</v>
      </c>
      <c r="F96" s="16">
        <v>0</v>
      </c>
      <c r="G96" s="16">
        <v>0</v>
      </c>
      <c r="H96" s="16"/>
      <c r="I96">
        <f>1500*2%</f>
        <v>30</v>
      </c>
    </row>
    <row r="97" spans="1:9">
      <c r="A97" s="15" t="s">
        <v>123</v>
      </c>
      <c r="B97" s="15" t="s">
        <v>124</v>
      </c>
      <c r="C97" s="15"/>
      <c r="D97" s="16">
        <v>1335.5700999999999</v>
      </c>
      <c r="E97" s="16">
        <v>0</v>
      </c>
      <c r="F97" s="16">
        <v>0</v>
      </c>
      <c r="G97" s="16">
        <v>0</v>
      </c>
      <c r="H97" s="16"/>
      <c r="I97" s="7" t="s">
        <v>125</v>
      </c>
    </row>
    <row r="98" spans="1:9">
      <c r="A98" s="15" t="s">
        <v>126</v>
      </c>
      <c r="B98" s="15" t="s">
        <v>22</v>
      </c>
      <c r="C98" s="15"/>
      <c r="D98" s="16">
        <v>1750</v>
      </c>
      <c r="E98" s="16">
        <v>2000</v>
      </c>
      <c r="F98" s="16">
        <v>0</v>
      </c>
      <c r="G98" s="16">
        <v>0</v>
      </c>
      <c r="H98" s="16"/>
    </row>
    <row r="99" spans="1:9">
      <c r="A99" s="15" t="s">
        <v>127</v>
      </c>
      <c r="B99" s="15" t="s">
        <v>22</v>
      </c>
      <c r="C99" s="15"/>
      <c r="D99" s="16">
        <v>1480.45</v>
      </c>
      <c r="E99" s="16">
        <v>1786.75</v>
      </c>
      <c r="F99" s="16">
        <v>0</v>
      </c>
      <c r="G99" s="16">
        <v>0</v>
      </c>
      <c r="H99" s="16"/>
    </row>
    <row r="100" spans="1:9">
      <c r="A100" s="15" t="s">
        <v>128</v>
      </c>
      <c r="B100" s="15" t="s">
        <v>20</v>
      </c>
      <c r="C100" s="15"/>
      <c r="D100" s="16">
        <v>1409.04126</v>
      </c>
      <c r="E100" s="16">
        <v>1525.6803</v>
      </c>
      <c r="F100" s="16">
        <v>2124.701</v>
      </c>
      <c r="G100" s="16">
        <v>1859.241</v>
      </c>
      <c r="H100" s="16"/>
    </row>
    <row r="101" spans="1:9">
      <c r="A101" s="15" t="s">
        <v>129</v>
      </c>
      <c r="B101" s="15" t="s">
        <v>27</v>
      </c>
      <c r="C101" s="15"/>
      <c r="D101" s="16">
        <v>1248.564564</v>
      </c>
      <c r="E101" s="16">
        <v>0</v>
      </c>
      <c r="F101" s="16">
        <v>0</v>
      </c>
      <c r="G101" s="16">
        <v>0</v>
      </c>
      <c r="H101" s="16"/>
    </row>
    <row r="102" spans="1:9">
      <c r="A102" s="15" t="s">
        <v>130</v>
      </c>
      <c r="B102" s="15" t="s">
        <v>20</v>
      </c>
      <c r="C102" s="15"/>
      <c r="D102" s="16">
        <v>1245.5383200000001</v>
      </c>
      <c r="E102" s="16">
        <v>1245.5383200000001</v>
      </c>
      <c r="F102" s="16">
        <v>0</v>
      </c>
      <c r="G102" s="16">
        <v>0</v>
      </c>
      <c r="H102" s="16"/>
    </row>
    <row r="103" spans="1:9">
      <c r="A103" s="15" t="s">
        <v>131</v>
      </c>
      <c r="B103" s="15" t="s">
        <v>20</v>
      </c>
      <c r="C103" s="15"/>
      <c r="D103" s="16">
        <v>1480.45</v>
      </c>
      <c r="E103" s="16">
        <v>1786.75</v>
      </c>
      <c r="F103" s="16">
        <v>0</v>
      </c>
      <c r="G103" s="16">
        <v>0</v>
      </c>
      <c r="H103" s="16"/>
    </row>
    <row r="104" spans="1:9">
      <c r="A104" s="15" t="s">
        <v>132</v>
      </c>
      <c r="B104" s="15" t="s">
        <v>20</v>
      </c>
      <c r="C104" s="15"/>
      <c r="D104" s="16">
        <v>1510.059</v>
      </c>
      <c r="E104" s="16">
        <v>1822.4849999999999</v>
      </c>
      <c r="F104" s="16">
        <v>0</v>
      </c>
      <c r="G104" s="16">
        <v>0</v>
      </c>
      <c r="H104" s="16"/>
    </row>
    <row r="105" spans="1:9">
      <c r="A105" s="15" t="s">
        <v>133</v>
      </c>
      <c r="B105" s="15" t="s">
        <v>20</v>
      </c>
      <c r="C105" s="15"/>
      <c r="D105" s="16">
        <v>1510.059</v>
      </c>
      <c r="E105" s="16">
        <v>1822.4849999999999</v>
      </c>
      <c r="F105" s="16">
        <v>0</v>
      </c>
      <c r="G105" s="16">
        <v>0</v>
      </c>
      <c r="H105" s="16"/>
    </row>
    <row r="106" spans="1:9">
      <c r="A106" s="15" t="s">
        <v>134</v>
      </c>
      <c r="B106" s="15" t="s">
        <v>20</v>
      </c>
      <c r="C106" s="15"/>
      <c r="D106" s="16">
        <v>1163.26614</v>
      </c>
      <c r="E106" s="16">
        <v>1163.26614</v>
      </c>
      <c r="F106" s="16">
        <v>0</v>
      </c>
      <c r="G106" s="16">
        <v>0</v>
      </c>
      <c r="H106" s="16"/>
    </row>
    <row r="107" spans="1:9">
      <c r="A107" s="15" t="s">
        <v>135</v>
      </c>
      <c r="B107" s="15" t="s">
        <v>27</v>
      </c>
      <c r="C107" s="15"/>
      <c r="D107" s="16">
        <v>1404.8755800000001</v>
      </c>
      <c r="E107" s="16">
        <v>0</v>
      </c>
      <c r="F107" s="16">
        <v>0</v>
      </c>
      <c r="G107" s="16">
        <v>0</v>
      </c>
      <c r="H107" s="16"/>
    </row>
    <row r="108" spans="1:9">
      <c r="A108" s="15" t="s">
        <v>136</v>
      </c>
      <c r="B108" s="15" t="s">
        <v>20</v>
      </c>
      <c r="C108" s="15"/>
      <c r="D108" s="16">
        <v>1510.059</v>
      </c>
      <c r="E108" s="16">
        <v>1822.4849999999999</v>
      </c>
      <c r="F108" s="16">
        <v>0</v>
      </c>
      <c r="G108" s="16">
        <v>0</v>
      </c>
      <c r="H108" s="16"/>
      <c r="I108" t="s">
        <v>137</v>
      </c>
    </row>
    <row r="109" spans="1:9">
      <c r="A109" s="15" t="s">
        <v>138</v>
      </c>
      <c r="B109" s="15" t="s">
        <v>139</v>
      </c>
      <c r="C109" s="15"/>
      <c r="D109" s="16">
        <v>1480.45</v>
      </c>
      <c r="E109" s="16">
        <v>1786.75</v>
      </c>
      <c r="F109" s="16">
        <v>2347.3606799999998</v>
      </c>
      <c r="G109" s="16">
        <v>2053.6802400000001</v>
      </c>
      <c r="H109" s="16"/>
    </row>
    <row r="110" spans="1:9">
      <c r="A110" s="15" t="s">
        <v>140</v>
      </c>
      <c r="B110" s="15" t="s">
        <v>20</v>
      </c>
      <c r="C110" s="15"/>
      <c r="D110" s="16">
        <v>1701.68028</v>
      </c>
      <c r="E110" s="16">
        <v>2053.6802400000001</v>
      </c>
      <c r="F110" s="16">
        <v>2347.3606799999998</v>
      </c>
      <c r="G110" s="16">
        <v>2053.6802400000001</v>
      </c>
      <c r="H110" s="19"/>
    </row>
    <row r="112" spans="1:9">
      <c r="A112" t="s">
        <v>141</v>
      </c>
    </row>
    <row r="113" spans="1:9" ht="13.5" customHeight="1">
      <c r="A113" t="s">
        <v>8</v>
      </c>
      <c r="B113" t="s">
        <v>142</v>
      </c>
      <c r="C113" s="2">
        <v>2.3E-2</v>
      </c>
    </row>
    <row r="114" spans="1:9" ht="13.5" customHeight="1">
      <c r="B114" t="s">
        <v>2</v>
      </c>
      <c r="C114" s="2" t="s">
        <v>3</v>
      </c>
    </row>
    <row r="115" spans="1:9" ht="0.6" customHeight="1">
      <c r="A115" t="s">
        <v>11</v>
      </c>
      <c r="B115" t="s">
        <v>2</v>
      </c>
      <c r="C115" t="s">
        <v>3</v>
      </c>
    </row>
    <row r="116" spans="1:9">
      <c r="A116" t="s">
        <v>143</v>
      </c>
      <c r="B116" s="4">
        <v>1284.7483211538461</v>
      </c>
    </row>
    <row r="117" spans="1:9">
      <c r="A117" t="s">
        <v>26</v>
      </c>
      <c r="B117" s="4">
        <v>1297.1877059789997</v>
      </c>
    </row>
    <row r="118" spans="1:9">
      <c r="A118" t="s">
        <v>144</v>
      </c>
      <c r="B118" s="4">
        <v>1283.5810151999999</v>
      </c>
      <c r="E118" s="68" t="s">
        <v>145</v>
      </c>
      <c r="F118" s="68" t="s">
        <v>146</v>
      </c>
    </row>
    <row r="119" spans="1:9">
      <c r="A119" t="s">
        <v>147</v>
      </c>
      <c r="B119" s="4">
        <v>1203.6063219230768</v>
      </c>
      <c r="E119" s="64" t="s">
        <v>148</v>
      </c>
      <c r="F119" s="65" t="s">
        <v>149</v>
      </c>
    </row>
    <row r="120" spans="1:9">
      <c r="A120" t="s">
        <v>150</v>
      </c>
      <c r="B120" s="4">
        <v>1334.5853399999999</v>
      </c>
      <c r="E120" s="64" t="s">
        <v>151</v>
      </c>
      <c r="F120" s="64" t="s">
        <v>152</v>
      </c>
      <c r="I120" t="s">
        <v>109</v>
      </c>
    </row>
    <row r="121" spans="1:9">
      <c r="A121" t="s">
        <v>150</v>
      </c>
      <c r="B121" s="4">
        <v>1219.80474</v>
      </c>
      <c r="E121" s="64" t="s">
        <v>153</v>
      </c>
      <c r="F121" s="64" t="s">
        <v>152</v>
      </c>
      <c r="I121" t="s">
        <v>154</v>
      </c>
    </row>
    <row r="122" spans="1:9">
      <c r="A122" t="s">
        <v>155</v>
      </c>
      <c r="B122" s="4">
        <v>1297.2317056508875</v>
      </c>
      <c r="E122" s="64" t="s">
        <v>156</v>
      </c>
      <c r="F122" s="64" t="s">
        <v>152</v>
      </c>
    </row>
    <row r="123" spans="1:9">
      <c r="A123" t="s">
        <v>41</v>
      </c>
      <c r="B123" s="4">
        <v>1315.578</v>
      </c>
      <c r="E123" s="64" t="s">
        <v>157</v>
      </c>
      <c r="F123" s="65" t="s">
        <v>158</v>
      </c>
    </row>
    <row r="124" spans="1:9">
      <c r="A124" t="s">
        <v>43</v>
      </c>
      <c r="B124" s="4">
        <v>1310.463</v>
      </c>
      <c r="E124" s="64" t="s">
        <v>159</v>
      </c>
      <c r="F124" s="64" t="s">
        <v>10</v>
      </c>
    </row>
    <row r="125" spans="1:9" ht="15">
      <c r="A125" t="s">
        <v>160</v>
      </c>
      <c r="B125" s="4">
        <v>1204.646603964497</v>
      </c>
      <c r="E125" s="64" t="s">
        <v>161</v>
      </c>
      <c r="F125" s="66" t="s">
        <v>2</v>
      </c>
    </row>
    <row r="126" spans="1:9">
      <c r="A126" t="s">
        <v>57</v>
      </c>
      <c r="B126" s="4">
        <v>1344.0154145325446</v>
      </c>
      <c r="E126" s="64" t="s">
        <v>162</v>
      </c>
      <c r="F126" s="65" t="s">
        <v>163</v>
      </c>
    </row>
    <row r="127" spans="1:9">
      <c r="A127" t="s">
        <v>164</v>
      </c>
      <c r="B127" s="4">
        <v>1332.6012950591717</v>
      </c>
      <c r="E127" s="64" t="s">
        <v>165</v>
      </c>
      <c r="F127" s="65" t="s">
        <v>163</v>
      </c>
    </row>
    <row r="128" spans="1:9">
      <c r="A128" t="s">
        <v>70</v>
      </c>
      <c r="B128" s="4">
        <v>1290.7600199999999</v>
      </c>
      <c r="E128" s="64" t="s">
        <v>166</v>
      </c>
      <c r="F128" s="65" t="s">
        <v>158</v>
      </c>
    </row>
    <row r="129" spans="1:9" ht="15">
      <c r="A129" t="s">
        <v>75</v>
      </c>
      <c r="B129" s="4">
        <v>1248.3384497041418</v>
      </c>
      <c r="E129" s="64" t="s">
        <v>167</v>
      </c>
      <c r="F129" s="66" t="s">
        <v>2</v>
      </c>
    </row>
    <row r="130" spans="1:9">
      <c r="A130" t="s">
        <v>96</v>
      </c>
      <c r="B130" s="4">
        <v>1266.8021784</v>
      </c>
      <c r="E130" s="64" t="s">
        <v>168</v>
      </c>
      <c r="F130" s="65" t="s">
        <v>169</v>
      </c>
    </row>
    <row r="131" spans="1:9">
      <c r="A131" t="s">
        <v>95</v>
      </c>
      <c r="B131" s="4">
        <v>1266.8021784</v>
      </c>
      <c r="E131" s="64" t="s">
        <v>170</v>
      </c>
      <c r="F131" s="65" t="s">
        <v>163</v>
      </c>
    </row>
    <row r="132" spans="1:9">
      <c r="A132" t="s">
        <v>171</v>
      </c>
      <c r="B132" s="4">
        <v>1243.80432</v>
      </c>
      <c r="E132" s="64" t="s">
        <v>172</v>
      </c>
      <c r="F132" s="65" t="s">
        <v>169</v>
      </c>
    </row>
    <row r="133" spans="1:9">
      <c r="A133" t="s">
        <v>173</v>
      </c>
      <c r="B133" s="4">
        <v>1300.3525517751477</v>
      </c>
      <c r="E133" s="64" t="s">
        <v>174</v>
      </c>
      <c r="F133" s="65" t="s">
        <v>169</v>
      </c>
    </row>
    <row r="134" spans="1:9">
      <c r="A134" t="s">
        <v>175</v>
      </c>
      <c r="B134" s="4">
        <v>1159.9144761834318</v>
      </c>
      <c r="E134" s="64" t="s">
        <v>176</v>
      </c>
      <c r="F134" s="65" t="s">
        <v>169</v>
      </c>
      <c r="I134" t="s">
        <v>177</v>
      </c>
    </row>
    <row r="135" spans="1:9">
      <c r="A135" t="s">
        <v>101</v>
      </c>
      <c r="B135" s="4">
        <v>1305.5539619822484</v>
      </c>
      <c r="E135" s="64" t="s">
        <v>178</v>
      </c>
      <c r="F135" s="65" t="s">
        <v>149</v>
      </c>
    </row>
    <row r="136" spans="1:9" ht="15">
      <c r="A136" t="s">
        <v>179</v>
      </c>
      <c r="B136" s="4">
        <v>1257.6583292129997</v>
      </c>
      <c r="E136" s="64" t="s">
        <v>180</v>
      </c>
      <c r="F136" s="66" t="s">
        <v>2</v>
      </c>
      <c r="I136" t="s">
        <v>181</v>
      </c>
    </row>
    <row r="137" spans="1:9">
      <c r="A137" t="s">
        <v>182</v>
      </c>
      <c r="B137" s="4">
        <v>1332.8688482999999</v>
      </c>
      <c r="E137" s="64" t="s">
        <v>183</v>
      </c>
      <c r="F137" s="65" t="s">
        <v>169</v>
      </c>
    </row>
    <row r="138" spans="1:9" ht="15">
      <c r="A138" t="s">
        <v>184</v>
      </c>
      <c r="B138" s="4">
        <v>1305.5539619822484</v>
      </c>
      <c r="E138" s="64" t="s">
        <v>185</v>
      </c>
      <c r="F138" s="66" t="s">
        <v>2</v>
      </c>
    </row>
    <row r="139" spans="1:9" ht="15">
      <c r="A139" t="s">
        <v>134</v>
      </c>
      <c r="B139" s="4">
        <v>1142.2357649999999</v>
      </c>
      <c r="E139" s="64" t="s">
        <v>186</v>
      </c>
      <c r="F139" s="66" t="s">
        <v>2</v>
      </c>
    </row>
    <row r="140" spans="1:9">
      <c r="E140" s="64" t="s">
        <v>187</v>
      </c>
      <c r="F140" s="64" t="s">
        <v>188</v>
      </c>
    </row>
    <row r="141" spans="1:9">
      <c r="E141" s="64" t="s">
        <v>189</v>
      </c>
      <c r="F141" s="65" t="s">
        <v>190</v>
      </c>
    </row>
    <row r="142" spans="1:9">
      <c r="E142" s="64" t="s">
        <v>191</v>
      </c>
      <c r="F142" s="65" t="s">
        <v>192</v>
      </c>
    </row>
    <row r="143" spans="1:9">
      <c r="E143" s="64" t="s">
        <v>193</v>
      </c>
      <c r="F143" s="65" t="s">
        <v>169</v>
      </c>
    </row>
    <row r="144" spans="1:9">
      <c r="E144" s="64" t="s">
        <v>194</v>
      </c>
      <c r="F144" s="65" t="s">
        <v>195</v>
      </c>
    </row>
    <row r="145" spans="5:6">
      <c r="E145" s="67" t="s">
        <v>196</v>
      </c>
      <c r="F145" s="65" t="s">
        <v>195</v>
      </c>
    </row>
    <row r="146" spans="5:6">
      <c r="E146" s="43"/>
    </row>
    <row r="147" spans="5:6">
      <c r="E147" s="43"/>
    </row>
    <row r="148" spans="5:6">
      <c r="E148" s="43"/>
    </row>
  </sheetData>
  <mergeCells count="1">
    <mergeCell ref="A3:B3"/>
  </mergeCells>
  <phoneticPr fontId="16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2403B-2CA9-4EAF-99DB-306C463D789A}">
  <dimension ref="A1:U136"/>
  <sheetViews>
    <sheetView topLeftCell="A59" workbookViewId="0">
      <selection activeCell="O111" sqref="O111"/>
    </sheetView>
  </sheetViews>
  <sheetFormatPr defaultRowHeight="14.45"/>
  <cols>
    <col min="1" max="1" width="31.42578125" bestFit="1" customWidth="1"/>
    <col min="2" max="2" width="14.85546875" bestFit="1" customWidth="1"/>
    <col min="3" max="4" width="15.28515625" bestFit="1" customWidth="1"/>
    <col min="5" max="5" width="22.140625" bestFit="1" customWidth="1"/>
    <col min="6" max="6" width="16.140625" bestFit="1" customWidth="1"/>
    <col min="9" max="9" width="29.85546875" customWidth="1"/>
    <col min="10" max="10" width="18.85546875" customWidth="1"/>
    <col min="11" max="11" width="14.85546875" bestFit="1" customWidth="1"/>
    <col min="12" max="12" width="9.7109375" bestFit="1" customWidth="1"/>
    <col min="13" max="13" width="15.28515625" bestFit="1" customWidth="1"/>
    <col min="14" max="14" width="17.42578125" bestFit="1" customWidth="1"/>
    <col min="15" max="15" width="16.140625" bestFit="1" customWidth="1"/>
    <col min="16" max="16" width="34.42578125" bestFit="1" customWidth="1"/>
  </cols>
  <sheetData>
    <row r="1" spans="1:17">
      <c r="A1" t="s">
        <v>0</v>
      </c>
      <c r="I1" t="s">
        <v>0</v>
      </c>
    </row>
    <row r="2" spans="1:17">
      <c r="B2" t="s">
        <v>1</v>
      </c>
      <c r="C2" t="s">
        <v>2</v>
      </c>
      <c r="D2" t="s">
        <v>3</v>
      </c>
      <c r="E2" t="s">
        <v>4</v>
      </c>
      <c r="F2" t="s">
        <v>6</v>
      </c>
      <c r="K2" t="s">
        <v>1</v>
      </c>
      <c r="L2" t="s">
        <v>2</v>
      </c>
      <c r="M2" t="s">
        <v>3</v>
      </c>
      <c r="N2" t="s">
        <v>4</v>
      </c>
      <c r="O2" t="s">
        <v>6</v>
      </c>
      <c r="Q2" s="2">
        <v>2.1000000000000001E-2</v>
      </c>
    </row>
    <row r="3" spans="1:17">
      <c r="A3" t="s">
        <v>7</v>
      </c>
      <c r="B3">
        <v>1500</v>
      </c>
      <c r="C3">
        <v>1750</v>
      </c>
      <c r="D3">
        <v>2000</v>
      </c>
      <c r="E3">
        <v>2250</v>
      </c>
      <c r="F3">
        <v>1400</v>
      </c>
      <c r="K3" s="11">
        <v>1531.5</v>
      </c>
      <c r="L3" s="11">
        <v>1786.75</v>
      </c>
      <c r="M3" s="11">
        <v>2042</v>
      </c>
      <c r="N3" s="11">
        <v>2297.25</v>
      </c>
      <c r="O3" s="11">
        <v>1429.4</v>
      </c>
    </row>
    <row r="5" spans="1:17">
      <c r="A5" t="s">
        <v>8</v>
      </c>
      <c r="C5" t="s">
        <v>2</v>
      </c>
      <c r="D5" t="s">
        <v>3</v>
      </c>
      <c r="E5" t="s">
        <v>197</v>
      </c>
      <c r="F5" t="s">
        <v>9</v>
      </c>
      <c r="I5" s="1" t="s">
        <v>8</v>
      </c>
    </row>
    <row r="6" spans="1:17">
      <c r="A6" t="s">
        <v>19</v>
      </c>
      <c r="B6" t="s">
        <v>20</v>
      </c>
      <c r="C6" t="s">
        <v>198</v>
      </c>
      <c r="D6" t="s">
        <v>199</v>
      </c>
      <c r="E6" t="s">
        <v>11</v>
      </c>
      <c r="F6" t="s">
        <v>12</v>
      </c>
      <c r="I6" t="s">
        <v>19</v>
      </c>
      <c r="J6" t="s">
        <v>20</v>
      </c>
      <c r="K6" s="4"/>
      <c r="L6" s="4">
        <f>+(C6*$Q$2)+C6</f>
        <v>1304.838</v>
      </c>
      <c r="M6" s="4">
        <f t="shared" ref="M6:O21" si="0">+(D6*$Q$2)+D6</f>
        <v>0</v>
      </c>
      <c r="N6" s="4"/>
      <c r="O6" s="4"/>
    </row>
    <row r="7" spans="1:17">
      <c r="A7" t="s">
        <v>21</v>
      </c>
      <c r="B7" t="s">
        <v>22</v>
      </c>
      <c r="C7">
        <v>1479</v>
      </c>
      <c r="D7">
        <v>1785</v>
      </c>
      <c r="E7">
        <v>0</v>
      </c>
      <c r="F7">
        <v>0</v>
      </c>
      <c r="I7" t="s">
        <v>21</v>
      </c>
      <c r="J7" t="s">
        <v>22</v>
      </c>
      <c r="K7" s="4"/>
      <c r="L7" s="4">
        <f t="shared" ref="K7:L70" si="1">+(C7*$Q$2)+C7</f>
        <v>1510.059</v>
      </c>
      <c r="M7" s="4">
        <f t="shared" si="0"/>
        <v>1822.4849999999999</v>
      </c>
      <c r="N7" s="4">
        <f t="shared" si="0"/>
        <v>0</v>
      </c>
      <c r="O7" s="4">
        <f t="shared" si="0"/>
        <v>0</v>
      </c>
    </row>
    <row r="8" spans="1:17">
      <c r="A8" t="s">
        <v>23</v>
      </c>
      <c r="B8" t="s">
        <v>20</v>
      </c>
      <c r="C8">
        <v>1450</v>
      </c>
      <c r="D8">
        <v>1750</v>
      </c>
      <c r="E8">
        <v>1750</v>
      </c>
      <c r="F8">
        <v>2000</v>
      </c>
      <c r="I8" t="s">
        <v>23</v>
      </c>
      <c r="J8" t="s">
        <v>20</v>
      </c>
      <c r="K8" s="4"/>
      <c r="L8" s="4">
        <f t="shared" si="1"/>
        <v>1480.45</v>
      </c>
      <c r="M8" s="4">
        <f t="shared" si="0"/>
        <v>1786.75</v>
      </c>
      <c r="N8" s="4">
        <f t="shared" si="0"/>
        <v>1786.75</v>
      </c>
      <c r="O8" s="4">
        <f t="shared" si="0"/>
        <v>2042</v>
      </c>
    </row>
    <row r="9" spans="1:17">
      <c r="A9" t="s">
        <v>24</v>
      </c>
      <c r="B9" t="s">
        <v>20</v>
      </c>
      <c r="C9">
        <v>1173</v>
      </c>
      <c r="D9">
        <v>1326</v>
      </c>
      <c r="E9">
        <v>1479</v>
      </c>
      <c r="F9">
        <v>1326</v>
      </c>
      <c r="I9" t="s">
        <v>24</v>
      </c>
      <c r="J9" t="s">
        <v>20</v>
      </c>
      <c r="K9" s="4"/>
      <c r="L9" s="4">
        <f t="shared" si="1"/>
        <v>1197.633</v>
      </c>
      <c r="M9" s="4">
        <f t="shared" si="0"/>
        <v>1353.846</v>
      </c>
      <c r="N9" s="4">
        <f t="shared" si="0"/>
        <v>1510.059</v>
      </c>
      <c r="O9" s="4">
        <f t="shared" si="0"/>
        <v>1353.846</v>
      </c>
    </row>
    <row r="10" spans="1:17">
      <c r="A10" t="s">
        <v>25</v>
      </c>
      <c r="B10" t="s">
        <v>20</v>
      </c>
      <c r="C10">
        <v>1352.52</v>
      </c>
      <c r="D10">
        <v>1634.04</v>
      </c>
      <c r="E10">
        <v>1972.68</v>
      </c>
      <c r="F10">
        <v>1634.04</v>
      </c>
      <c r="I10" t="s">
        <v>25</v>
      </c>
      <c r="J10" t="s">
        <v>20</v>
      </c>
      <c r="K10" s="4"/>
      <c r="L10" s="4">
        <f t="shared" si="1"/>
        <v>1380.92292</v>
      </c>
      <c r="M10" s="4">
        <f t="shared" si="0"/>
        <v>1668.35484</v>
      </c>
      <c r="N10" s="4">
        <f t="shared" si="0"/>
        <v>2014.10628</v>
      </c>
      <c r="O10" s="4">
        <f t="shared" si="0"/>
        <v>1668.35484</v>
      </c>
    </row>
    <row r="11" spans="1:17">
      <c r="A11" t="s">
        <v>26</v>
      </c>
      <c r="B11" t="s">
        <v>27</v>
      </c>
      <c r="C11">
        <v>1297.44</v>
      </c>
      <c r="D11">
        <v>1297.44</v>
      </c>
      <c r="E11">
        <v>1297.44</v>
      </c>
      <c r="F11">
        <v>1297.44</v>
      </c>
      <c r="I11" t="s">
        <v>26</v>
      </c>
      <c r="J11" t="s">
        <v>27</v>
      </c>
      <c r="K11" s="4"/>
      <c r="L11" s="4">
        <f t="shared" si="1"/>
        <v>1324.68624</v>
      </c>
      <c r="M11" s="4">
        <f t="shared" si="0"/>
        <v>1324.68624</v>
      </c>
      <c r="N11" s="4">
        <f t="shared" si="0"/>
        <v>1324.68624</v>
      </c>
      <c r="O11" s="4">
        <f t="shared" si="0"/>
        <v>1324.68624</v>
      </c>
    </row>
    <row r="12" spans="1:17">
      <c r="A12" t="s">
        <v>28</v>
      </c>
      <c r="B12" t="s">
        <v>20</v>
      </c>
      <c r="C12">
        <v>1479</v>
      </c>
      <c r="D12">
        <v>1785</v>
      </c>
      <c r="E12">
        <v>0</v>
      </c>
      <c r="F12">
        <v>0</v>
      </c>
      <c r="I12" t="s">
        <v>28</v>
      </c>
      <c r="J12" t="s">
        <v>20</v>
      </c>
      <c r="K12" s="4"/>
      <c r="L12" s="4">
        <f t="shared" si="1"/>
        <v>1510.059</v>
      </c>
      <c r="M12" s="4">
        <f t="shared" si="0"/>
        <v>1822.4849999999999</v>
      </c>
      <c r="N12" s="4">
        <f t="shared" si="0"/>
        <v>0</v>
      </c>
      <c r="O12" s="4">
        <f t="shared" si="0"/>
        <v>0</v>
      </c>
    </row>
    <row r="13" spans="1:17">
      <c r="A13" t="s">
        <v>29</v>
      </c>
      <c r="B13" t="s">
        <v>20</v>
      </c>
      <c r="C13">
        <v>1422.9</v>
      </c>
      <c r="D13">
        <v>1719.72</v>
      </c>
      <c r="E13">
        <v>2076.7199999999998</v>
      </c>
      <c r="F13">
        <v>0</v>
      </c>
      <c r="I13" t="s">
        <v>29</v>
      </c>
      <c r="J13" t="s">
        <v>20</v>
      </c>
      <c r="K13" s="4"/>
      <c r="L13" s="4">
        <f t="shared" si="1"/>
        <v>1452.7809000000002</v>
      </c>
      <c r="M13" s="4">
        <f t="shared" si="0"/>
        <v>1755.83412</v>
      </c>
      <c r="N13" s="4">
        <f t="shared" si="0"/>
        <v>2120.3311199999998</v>
      </c>
      <c r="O13" s="4">
        <f t="shared" si="0"/>
        <v>0</v>
      </c>
    </row>
    <row r="14" spans="1:17">
      <c r="A14" t="s">
        <v>30</v>
      </c>
      <c r="B14" t="s">
        <v>20</v>
      </c>
      <c r="C14">
        <v>1428</v>
      </c>
      <c r="D14">
        <v>1785</v>
      </c>
      <c r="E14">
        <v>2040</v>
      </c>
      <c r="F14">
        <v>1785</v>
      </c>
      <c r="I14" t="s">
        <v>30</v>
      </c>
      <c r="J14" t="s">
        <v>20</v>
      </c>
      <c r="K14" s="4"/>
      <c r="L14" s="4">
        <f t="shared" si="1"/>
        <v>1457.9880000000001</v>
      </c>
      <c r="M14" s="4">
        <f t="shared" si="0"/>
        <v>1822.4849999999999</v>
      </c>
      <c r="N14" s="4">
        <f t="shared" si="0"/>
        <v>2082.84</v>
      </c>
      <c r="O14" s="4">
        <f t="shared" si="0"/>
        <v>1822.4849999999999</v>
      </c>
    </row>
    <row r="15" spans="1:17">
      <c r="A15" t="s">
        <v>31</v>
      </c>
      <c r="B15" t="s">
        <v>20</v>
      </c>
      <c r="C15">
        <v>1254.5999999999999</v>
      </c>
      <c r="I15" t="s">
        <v>31</v>
      </c>
      <c r="J15" t="s">
        <v>20</v>
      </c>
      <c r="K15" s="4"/>
      <c r="L15" s="4">
        <f t="shared" si="1"/>
        <v>1280.9466</v>
      </c>
      <c r="M15" s="4">
        <f t="shared" si="0"/>
        <v>0</v>
      </c>
      <c r="N15" s="4">
        <f t="shared" si="0"/>
        <v>0</v>
      </c>
      <c r="O15" s="4">
        <f t="shared" si="0"/>
        <v>0</v>
      </c>
    </row>
    <row r="16" spans="1:17">
      <c r="A16" t="s">
        <v>34</v>
      </c>
      <c r="B16" t="s">
        <v>22</v>
      </c>
      <c r="C16">
        <v>1450</v>
      </c>
      <c r="D16">
        <v>1750</v>
      </c>
      <c r="I16" t="s">
        <v>34</v>
      </c>
      <c r="J16" t="s">
        <v>22</v>
      </c>
      <c r="K16" s="4"/>
      <c r="L16" s="4">
        <f t="shared" si="1"/>
        <v>1480.45</v>
      </c>
      <c r="M16" s="4">
        <f t="shared" si="0"/>
        <v>1786.75</v>
      </c>
      <c r="N16" s="4">
        <f t="shared" si="0"/>
        <v>0</v>
      </c>
      <c r="O16" s="4">
        <f t="shared" si="0"/>
        <v>0</v>
      </c>
      <c r="P16" t="s">
        <v>32</v>
      </c>
    </row>
    <row r="17" spans="1:16">
      <c r="A17" t="s">
        <v>36</v>
      </c>
      <c r="B17" t="s">
        <v>20</v>
      </c>
      <c r="C17">
        <v>1470.3</v>
      </c>
      <c r="D17">
        <v>1774.5</v>
      </c>
      <c r="E17">
        <v>0</v>
      </c>
      <c r="F17">
        <v>0</v>
      </c>
      <c r="I17" t="s">
        <v>36</v>
      </c>
      <c r="J17" t="s">
        <v>20</v>
      </c>
      <c r="K17" s="4"/>
      <c r="L17" s="4">
        <f>+(C17*2.3%)+C17</f>
        <v>1504.1169</v>
      </c>
      <c r="M17" s="4">
        <f>+(D17*2.3%)+D17</f>
        <v>1815.3135</v>
      </c>
      <c r="N17" s="4">
        <f t="shared" si="0"/>
        <v>0</v>
      </c>
      <c r="O17" s="4">
        <f t="shared" si="0"/>
        <v>0</v>
      </c>
      <c r="P17" t="s">
        <v>35</v>
      </c>
    </row>
    <row r="18" spans="1:16">
      <c r="A18" t="s">
        <v>37</v>
      </c>
      <c r="B18" t="s">
        <v>22</v>
      </c>
      <c r="C18">
        <v>1479</v>
      </c>
      <c r="D18">
        <v>1785</v>
      </c>
      <c r="I18" t="s">
        <v>37</v>
      </c>
      <c r="J18" t="s">
        <v>22</v>
      </c>
      <c r="K18" s="4"/>
      <c r="L18" s="4">
        <f t="shared" si="1"/>
        <v>1510.059</v>
      </c>
      <c r="M18" s="4">
        <f t="shared" si="0"/>
        <v>1822.4849999999999</v>
      </c>
      <c r="N18" s="4">
        <f t="shared" si="0"/>
        <v>0</v>
      </c>
      <c r="O18" s="4">
        <f t="shared" si="0"/>
        <v>0</v>
      </c>
    </row>
    <row r="19" spans="1:16">
      <c r="A19" t="s">
        <v>38</v>
      </c>
      <c r="B19" t="s">
        <v>27</v>
      </c>
      <c r="C19">
        <v>1304.58</v>
      </c>
      <c r="D19">
        <v>0</v>
      </c>
      <c r="E19">
        <v>0</v>
      </c>
      <c r="F19">
        <v>0</v>
      </c>
      <c r="I19" t="s">
        <v>38</v>
      </c>
      <c r="J19" t="s">
        <v>27</v>
      </c>
      <c r="K19" s="4"/>
      <c r="L19" s="4">
        <f t="shared" si="1"/>
        <v>1331.9761799999999</v>
      </c>
      <c r="M19" s="4">
        <f t="shared" si="0"/>
        <v>0</v>
      </c>
      <c r="N19" s="4">
        <f t="shared" si="0"/>
        <v>0</v>
      </c>
      <c r="O19" s="4">
        <f t="shared" si="0"/>
        <v>0</v>
      </c>
    </row>
    <row r="20" spans="1:16">
      <c r="A20" t="s">
        <v>39</v>
      </c>
      <c r="B20" t="s">
        <v>20</v>
      </c>
      <c r="C20">
        <v>1450</v>
      </c>
      <c r="D20">
        <v>1750</v>
      </c>
      <c r="I20" t="s">
        <v>39</v>
      </c>
      <c r="J20" t="s">
        <v>20</v>
      </c>
      <c r="K20" s="4"/>
      <c r="L20" s="4">
        <f t="shared" si="1"/>
        <v>1480.45</v>
      </c>
      <c r="M20" s="4">
        <f t="shared" si="0"/>
        <v>1786.75</v>
      </c>
      <c r="N20" s="4">
        <f t="shared" si="0"/>
        <v>0</v>
      </c>
      <c r="O20" s="4">
        <f t="shared" si="0"/>
        <v>0</v>
      </c>
    </row>
    <row r="21" spans="1:16">
      <c r="A21" t="s">
        <v>40</v>
      </c>
      <c r="B21">
        <v>1500</v>
      </c>
      <c r="C21">
        <v>1750</v>
      </c>
      <c r="D21">
        <v>2000</v>
      </c>
      <c r="E21">
        <v>2250</v>
      </c>
      <c r="I21" t="s">
        <v>40</v>
      </c>
      <c r="J21" t="s">
        <v>20</v>
      </c>
      <c r="K21" s="4">
        <f>+(B21*$Q$2)+B21</f>
        <v>1531.5</v>
      </c>
      <c r="L21" s="4">
        <f t="shared" si="1"/>
        <v>1786.75</v>
      </c>
      <c r="M21" s="4">
        <f t="shared" si="0"/>
        <v>2042</v>
      </c>
      <c r="N21" s="4">
        <f t="shared" si="0"/>
        <v>2297.25</v>
      </c>
      <c r="O21" s="4">
        <f t="shared" si="0"/>
        <v>0</v>
      </c>
    </row>
    <row r="22" spans="1:16">
      <c r="A22" t="s">
        <v>41</v>
      </c>
      <c r="B22" t="s">
        <v>20</v>
      </c>
      <c r="C22">
        <v>1286.22</v>
      </c>
      <c r="D22">
        <v>1286.22</v>
      </c>
      <c r="I22" t="s">
        <v>41</v>
      </c>
      <c r="J22" t="s">
        <v>20</v>
      </c>
      <c r="K22" s="4"/>
      <c r="L22" s="4">
        <f t="shared" si="1"/>
        <v>1313.23062</v>
      </c>
      <c r="M22" s="4">
        <f t="shared" ref="M22:M85" si="2">+(D22*$Q$2)+D22</f>
        <v>1313.23062</v>
      </c>
      <c r="N22" s="4">
        <f t="shared" ref="N22:N85" si="3">+(E22*$Q$2)+E22</f>
        <v>0</v>
      </c>
      <c r="O22" s="4">
        <f t="shared" ref="O22:O85" si="4">+(F22*$Q$2)+F22</f>
        <v>0</v>
      </c>
    </row>
    <row r="23" spans="1:16">
      <c r="A23" t="s">
        <v>42</v>
      </c>
      <c r="B23" t="s">
        <v>27</v>
      </c>
      <c r="C23">
        <v>1228.08</v>
      </c>
      <c r="D23">
        <v>0</v>
      </c>
      <c r="E23">
        <v>0</v>
      </c>
      <c r="F23">
        <v>0</v>
      </c>
      <c r="I23" t="s">
        <v>42</v>
      </c>
      <c r="J23" t="s">
        <v>27</v>
      </c>
      <c r="K23" s="4"/>
      <c r="L23" s="4">
        <f t="shared" si="1"/>
        <v>1253.86968</v>
      </c>
      <c r="M23" s="4">
        <f t="shared" si="2"/>
        <v>0</v>
      </c>
      <c r="N23" s="4">
        <f t="shared" si="3"/>
        <v>0</v>
      </c>
      <c r="O23" s="4">
        <f t="shared" si="4"/>
        <v>0</v>
      </c>
    </row>
    <row r="24" spans="1:16">
      <c r="A24" t="s">
        <v>43</v>
      </c>
      <c r="B24" t="s">
        <v>27</v>
      </c>
      <c r="C24">
        <v>1281</v>
      </c>
      <c r="D24">
        <v>0</v>
      </c>
      <c r="E24">
        <v>0</v>
      </c>
      <c r="F24">
        <v>0</v>
      </c>
      <c r="I24" t="s">
        <v>43</v>
      </c>
      <c r="J24" t="s">
        <v>27</v>
      </c>
      <c r="K24" s="4"/>
      <c r="L24" s="4">
        <f t="shared" si="1"/>
        <v>1307.9010000000001</v>
      </c>
      <c r="M24" s="4">
        <f t="shared" si="2"/>
        <v>0</v>
      </c>
      <c r="N24" s="4">
        <f t="shared" si="3"/>
        <v>0</v>
      </c>
      <c r="O24" s="4">
        <f t="shared" si="4"/>
        <v>0</v>
      </c>
    </row>
    <row r="25" spans="1:16">
      <c r="A25" t="s">
        <v>44</v>
      </c>
      <c r="B25" t="s">
        <v>20</v>
      </c>
      <c r="C25">
        <v>1380.06</v>
      </c>
      <c r="D25">
        <v>1666.68</v>
      </c>
      <c r="E25">
        <v>2011.44</v>
      </c>
      <c r="F25">
        <v>1666.68</v>
      </c>
      <c r="I25" t="s">
        <v>44</v>
      </c>
      <c r="J25" t="s">
        <v>20</v>
      </c>
      <c r="K25" s="4"/>
      <c r="L25" s="4">
        <f t="shared" si="1"/>
        <v>1409.04126</v>
      </c>
      <c r="M25" s="4">
        <f t="shared" si="2"/>
        <v>1701.68028</v>
      </c>
      <c r="N25" s="4">
        <f t="shared" si="3"/>
        <v>2053.6802400000001</v>
      </c>
      <c r="O25" s="4">
        <f t="shared" si="4"/>
        <v>1701.68028</v>
      </c>
    </row>
    <row r="26" spans="1:16">
      <c r="A26" t="s">
        <v>45</v>
      </c>
      <c r="B26" t="s">
        <v>20</v>
      </c>
      <c r="C26">
        <v>1450</v>
      </c>
      <c r="D26">
        <v>1750</v>
      </c>
      <c r="I26" t="s">
        <v>45</v>
      </c>
      <c r="J26" t="s">
        <v>20</v>
      </c>
      <c r="K26" s="4"/>
      <c r="L26" s="4">
        <f t="shared" si="1"/>
        <v>1480.45</v>
      </c>
      <c r="M26" s="4">
        <f t="shared" si="2"/>
        <v>1786.75</v>
      </c>
      <c r="N26" s="4">
        <f t="shared" si="3"/>
        <v>0</v>
      </c>
      <c r="O26" s="4">
        <f t="shared" si="4"/>
        <v>0</v>
      </c>
    </row>
    <row r="27" spans="1:16">
      <c r="A27" t="s">
        <v>46</v>
      </c>
      <c r="B27" t="s">
        <v>27</v>
      </c>
      <c r="C27">
        <v>1304.58</v>
      </c>
      <c r="D27">
        <v>0</v>
      </c>
      <c r="E27">
        <v>0</v>
      </c>
      <c r="F27">
        <v>0</v>
      </c>
      <c r="I27" t="s">
        <v>46</v>
      </c>
      <c r="J27" t="s">
        <v>27</v>
      </c>
      <c r="K27" s="4"/>
      <c r="L27" s="4">
        <f t="shared" si="1"/>
        <v>1331.9761799999999</v>
      </c>
      <c r="M27" s="4">
        <f t="shared" si="2"/>
        <v>0</v>
      </c>
      <c r="N27" s="4">
        <f t="shared" si="3"/>
        <v>0</v>
      </c>
      <c r="O27" s="4">
        <f t="shared" si="4"/>
        <v>0</v>
      </c>
    </row>
    <row r="28" spans="1:16">
      <c r="A28" t="s">
        <v>47</v>
      </c>
      <c r="B28" t="s">
        <v>27</v>
      </c>
      <c r="C28">
        <v>1352.52</v>
      </c>
      <c r="D28">
        <v>0</v>
      </c>
      <c r="E28">
        <v>0</v>
      </c>
      <c r="F28">
        <v>0</v>
      </c>
      <c r="I28" t="s">
        <v>47</v>
      </c>
      <c r="J28" t="s">
        <v>27</v>
      </c>
      <c r="K28" s="4"/>
      <c r="L28" s="4">
        <f t="shared" si="1"/>
        <v>1380.92292</v>
      </c>
      <c r="M28" s="4">
        <f t="shared" si="2"/>
        <v>0</v>
      </c>
      <c r="N28" s="4">
        <f t="shared" si="3"/>
        <v>0</v>
      </c>
      <c r="O28" s="4">
        <f t="shared" si="4"/>
        <v>0</v>
      </c>
    </row>
    <row r="29" spans="1:16">
      <c r="A29" t="s">
        <v>48</v>
      </c>
      <c r="B29" t="s">
        <v>20</v>
      </c>
      <c r="C29">
        <v>1353</v>
      </c>
      <c r="D29">
        <v>1522</v>
      </c>
      <c r="E29">
        <v>1522</v>
      </c>
      <c r="F29">
        <v>1688</v>
      </c>
      <c r="I29" t="s">
        <v>48</v>
      </c>
      <c r="J29" t="s">
        <v>20</v>
      </c>
      <c r="K29" s="4"/>
      <c r="L29" s="4">
        <f t="shared" si="1"/>
        <v>1381.413</v>
      </c>
      <c r="M29" s="4">
        <f t="shared" si="2"/>
        <v>1553.962</v>
      </c>
      <c r="N29" s="4">
        <f t="shared" si="3"/>
        <v>1553.962</v>
      </c>
      <c r="O29" s="4">
        <f t="shared" si="4"/>
        <v>1723.4480000000001</v>
      </c>
    </row>
    <row r="30" spans="1:16">
      <c r="A30" t="s">
        <v>49</v>
      </c>
      <c r="B30" t="s">
        <v>22</v>
      </c>
      <c r="C30">
        <v>1479</v>
      </c>
      <c r="D30">
        <v>1785</v>
      </c>
      <c r="I30" t="s">
        <v>49</v>
      </c>
      <c r="J30" t="s">
        <v>22</v>
      </c>
      <c r="K30" s="4"/>
      <c r="L30" s="4">
        <f t="shared" si="1"/>
        <v>1510.059</v>
      </c>
      <c r="M30" s="4">
        <f t="shared" si="2"/>
        <v>1822.4849999999999</v>
      </c>
      <c r="N30" s="4">
        <f t="shared" si="3"/>
        <v>0</v>
      </c>
      <c r="O30" s="4">
        <f t="shared" si="4"/>
        <v>0</v>
      </c>
    </row>
    <row r="31" spans="1:16">
      <c r="A31" t="s">
        <v>52</v>
      </c>
      <c r="B31" t="s">
        <v>27</v>
      </c>
      <c r="C31">
        <v>1248.48</v>
      </c>
      <c r="D31">
        <v>0</v>
      </c>
      <c r="E31">
        <v>0</v>
      </c>
      <c r="F31">
        <v>0</v>
      </c>
      <c r="I31" t="s">
        <v>52</v>
      </c>
      <c r="J31" t="s">
        <v>27</v>
      </c>
      <c r="K31" s="4"/>
      <c r="L31" s="4">
        <f t="shared" si="1"/>
        <v>1274.6980800000001</v>
      </c>
      <c r="M31" s="4">
        <f t="shared" si="2"/>
        <v>0</v>
      </c>
      <c r="N31" s="4">
        <f t="shared" si="3"/>
        <v>0</v>
      </c>
      <c r="O31" s="4">
        <f t="shared" si="4"/>
        <v>0</v>
      </c>
    </row>
    <row r="32" spans="1:16">
      <c r="A32" t="s">
        <v>53</v>
      </c>
      <c r="C32">
        <v>184.11</v>
      </c>
      <c r="I32" t="s">
        <v>53</v>
      </c>
      <c r="K32" s="4"/>
      <c r="L32" s="4">
        <f>+(C32*$Q$2)+C32</f>
        <v>187.97631000000001</v>
      </c>
      <c r="M32" s="4">
        <f t="shared" si="2"/>
        <v>0</v>
      </c>
      <c r="N32" s="4">
        <f t="shared" si="3"/>
        <v>0</v>
      </c>
      <c r="O32" s="4">
        <f t="shared" si="4"/>
        <v>0</v>
      </c>
      <c r="P32" t="s">
        <v>51</v>
      </c>
    </row>
    <row r="33" spans="1:15">
      <c r="A33" t="s">
        <v>54</v>
      </c>
      <c r="B33">
        <v>1500</v>
      </c>
      <c r="C33">
        <v>1750</v>
      </c>
      <c r="D33">
        <v>2000</v>
      </c>
      <c r="E33">
        <v>2250</v>
      </c>
      <c r="I33" t="s">
        <v>54</v>
      </c>
      <c r="J33" t="s">
        <v>20</v>
      </c>
      <c r="K33" s="4">
        <f t="shared" si="1"/>
        <v>1531.5</v>
      </c>
      <c r="L33" s="4">
        <f t="shared" si="1"/>
        <v>1786.75</v>
      </c>
      <c r="M33" s="4">
        <f t="shared" si="2"/>
        <v>2042</v>
      </c>
      <c r="N33" s="4">
        <f t="shared" si="3"/>
        <v>2297.25</v>
      </c>
      <c r="O33" s="4">
        <f t="shared" si="4"/>
        <v>0</v>
      </c>
    </row>
    <row r="34" spans="1:15">
      <c r="A34" t="s">
        <v>55</v>
      </c>
      <c r="B34" t="s">
        <v>20</v>
      </c>
      <c r="C34">
        <v>1352.52</v>
      </c>
      <c r="D34">
        <v>1508.58</v>
      </c>
      <c r="E34">
        <v>1820.7</v>
      </c>
      <c r="F34">
        <v>1508.58</v>
      </c>
      <c r="I34" t="s">
        <v>55</v>
      </c>
      <c r="J34" t="s">
        <v>20</v>
      </c>
      <c r="K34" s="4"/>
      <c r="L34" s="4">
        <f t="shared" si="1"/>
        <v>1380.92292</v>
      </c>
      <c r="M34" s="4">
        <f t="shared" si="2"/>
        <v>1540.26018</v>
      </c>
      <c r="N34" s="4">
        <f t="shared" si="3"/>
        <v>1858.9347</v>
      </c>
      <c r="O34" s="4">
        <f t="shared" si="4"/>
        <v>1540.26018</v>
      </c>
    </row>
    <row r="35" spans="1:15">
      <c r="A35" t="s">
        <v>56</v>
      </c>
      <c r="B35" t="s">
        <v>20</v>
      </c>
      <c r="C35">
        <v>1479</v>
      </c>
      <c r="D35">
        <v>1785</v>
      </c>
      <c r="I35" t="s">
        <v>56</v>
      </c>
      <c r="J35" t="s">
        <v>20</v>
      </c>
      <c r="K35" s="4"/>
      <c r="L35" s="4">
        <f t="shared" si="1"/>
        <v>1510.059</v>
      </c>
      <c r="M35" s="4">
        <f t="shared" si="2"/>
        <v>1822.4849999999999</v>
      </c>
      <c r="N35" s="4">
        <f t="shared" si="3"/>
        <v>0</v>
      </c>
      <c r="O35" s="4">
        <f t="shared" si="4"/>
        <v>0</v>
      </c>
    </row>
    <row r="36" spans="1:15">
      <c r="A36" t="s">
        <v>57</v>
      </c>
      <c r="B36" t="s">
        <v>27</v>
      </c>
      <c r="C36">
        <v>1323.96</v>
      </c>
      <c r="I36" t="s">
        <v>57</v>
      </c>
      <c r="J36" t="s">
        <v>27</v>
      </c>
      <c r="K36" s="4"/>
      <c r="L36" s="4">
        <f t="shared" si="1"/>
        <v>1351.76316</v>
      </c>
      <c r="M36" s="4">
        <f t="shared" si="2"/>
        <v>0</v>
      </c>
      <c r="N36" s="4">
        <f t="shared" si="3"/>
        <v>0</v>
      </c>
      <c r="O36" s="4">
        <f t="shared" si="4"/>
        <v>0</v>
      </c>
    </row>
    <row r="37" spans="1:15">
      <c r="A37" t="s">
        <v>58</v>
      </c>
      <c r="B37" t="s">
        <v>20</v>
      </c>
      <c r="C37">
        <v>1666.68</v>
      </c>
      <c r="D37">
        <v>2011.44</v>
      </c>
      <c r="E37">
        <v>2299.08</v>
      </c>
      <c r="F37">
        <v>2011.44</v>
      </c>
      <c r="I37" t="s">
        <v>58</v>
      </c>
      <c r="J37" t="s">
        <v>20</v>
      </c>
      <c r="K37" s="4"/>
      <c r="L37" s="4">
        <f t="shared" si="1"/>
        <v>1701.68028</v>
      </c>
      <c r="M37" s="4">
        <f t="shared" si="2"/>
        <v>2053.6802400000001</v>
      </c>
      <c r="N37" s="4">
        <f t="shared" si="3"/>
        <v>2347.3606799999998</v>
      </c>
      <c r="O37" s="4">
        <f t="shared" si="4"/>
        <v>2053.6802400000001</v>
      </c>
    </row>
    <row r="38" spans="1:15">
      <c r="A38" t="s">
        <v>59</v>
      </c>
      <c r="B38" t="s">
        <v>20</v>
      </c>
      <c r="C38">
        <v>1422.9</v>
      </c>
      <c r="D38">
        <v>1719.72</v>
      </c>
      <c r="I38" t="s">
        <v>59</v>
      </c>
      <c r="J38" t="s">
        <v>20</v>
      </c>
      <c r="K38" s="4"/>
      <c r="L38" s="4">
        <f t="shared" si="1"/>
        <v>1452.7809000000002</v>
      </c>
      <c r="M38" s="4">
        <f t="shared" si="2"/>
        <v>1755.83412</v>
      </c>
      <c r="N38" s="4">
        <f t="shared" si="3"/>
        <v>0</v>
      </c>
      <c r="O38" s="4">
        <f t="shared" si="4"/>
        <v>0</v>
      </c>
    </row>
    <row r="39" spans="1:15">
      <c r="A39" t="s">
        <v>60</v>
      </c>
      <c r="B39" t="s">
        <v>20</v>
      </c>
      <c r="C39">
        <v>1450</v>
      </c>
      <c r="D39">
        <v>1750</v>
      </c>
      <c r="I39" t="s">
        <v>60</v>
      </c>
      <c r="J39" t="s">
        <v>20</v>
      </c>
      <c r="K39" s="4"/>
      <c r="L39" s="4">
        <f t="shared" si="1"/>
        <v>1480.45</v>
      </c>
      <c r="M39" s="4">
        <f t="shared" si="2"/>
        <v>1786.75</v>
      </c>
      <c r="N39" s="4">
        <f t="shared" si="3"/>
        <v>0</v>
      </c>
      <c r="O39" s="4">
        <f t="shared" si="4"/>
        <v>0</v>
      </c>
    </row>
    <row r="40" spans="1:15">
      <c r="A40" t="s">
        <v>61</v>
      </c>
      <c r="B40" t="s">
        <v>20</v>
      </c>
      <c r="C40">
        <v>1483.08</v>
      </c>
      <c r="D40">
        <v>1601.4</v>
      </c>
      <c r="E40">
        <v>0</v>
      </c>
      <c r="F40">
        <v>0</v>
      </c>
      <c r="I40" t="s">
        <v>61</v>
      </c>
      <c r="J40" t="s">
        <v>20</v>
      </c>
      <c r="K40" s="4"/>
      <c r="L40" s="4">
        <f t="shared" si="1"/>
        <v>1514.22468</v>
      </c>
      <c r="M40" s="4">
        <f t="shared" si="2"/>
        <v>1635.0294000000001</v>
      </c>
      <c r="N40" s="4">
        <f t="shared" si="3"/>
        <v>0</v>
      </c>
      <c r="O40" s="4">
        <f t="shared" si="4"/>
        <v>0</v>
      </c>
    </row>
    <row r="41" spans="1:15">
      <c r="A41" t="s">
        <v>62</v>
      </c>
      <c r="B41" t="s">
        <v>20</v>
      </c>
      <c r="C41">
        <v>1666.68</v>
      </c>
      <c r="D41">
        <v>2011.44</v>
      </c>
      <c r="E41">
        <v>0</v>
      </c>
      <c r="F41">
        <v>2011.44</v>
      </c>
      <c r="I41" t="s">
        <v>62</v>
      </c>
      <c r="J41" t="s">
        <v>20</v>
      </c>
      <c r="K41" s="4"/>
      <c r="L41" s="4">
        <f t="shared" si="1"/>
        <v>1701.68028</v>
      </c>
      <c r="M41" s="4">
        <f t="shared" si="2"/>
        <v>2053.6802400000001</v>
      </c>
      <c r="N41" s="4">
        <f t="shared" si="3"/>
        <v>0</v>
      </c>
      <c r="O41" s="4">
        <f t="shared" si="4"/>
        <v>2053.6802400000001</v>
      </c>
    </row>
    <row r="42" spans="1:15">
      <c r="A42" t="s">
        <v>63</v>
      </c>
      <c r="B42" t="s">
        <v>20</v>
      </c>
      <c r="C42">
        <v>1450</v>
      </c>
      <c r="D42">
        <v>1750</v>
      </c>
      <c r="E42">
        <v>2000</v>
      </c>
      <c r="F42">
        <v>1750</v>
      </c>
      <c r="I42" t="s">
        <v>63</v>
      </c>
      <c r="J42" t="s">
        <v>20</v>
      </c>
      <c r="K42" s="4"/>
      <c r="L42" s="4">
        <f t="shared" si="1"/>
        <v>1480.45</v>
      </c>
      <c r="M42" s="4">
        <f t="shared" si="2"/>
        <v>1786.75</v>
      </c>
      <c r="N42" s="4">
        <f t="shared" si="3"/>
        <v>2042</v>
      </c>
      <c r="O42" s="4">
        <f t="shared" si="4"/>
        <v>1786.75</v>
      </c>
    </row>
    <row r="43" spans="1:15">
      <c r="A43" t="s">
        <v>64</v>
      </c>
      <c r="B43" t="s">
        <v>20</v>
      </c>
      <c r="C43">
        <v>1479</v>
      </c>
      <c r="D43">
        <v>1785</v>
      </c>
      <c r="E43">
        <v>0</v>
      </c>
      <c r="F43">
        <v>0</v>
      </c>
      <c r="I43" t="s">
        <v>64</v>
      </c>
      <c r="J43" t="s">
        <v>20</v>
      </c>
      <c r="K43" s="4"/>
      <c r="L43" s="4">
        <f t="shared" si="1"/>
        <v>1510.059</v>
      </c>
      <c r="M43" s="4">
        <f t="shared" si="2"/>
        <v>1822.4849999999999</v>
      </c>
      <c r="N43" s="4">
        <f t="shared" si="3"/>
        <v>0</v>
      </c>
      <c r="O43" s="4">
        <f t="shared" si="4"/>
        <v>0</v>
      </c>
    </row>
    <row r="44" spans="1:15">
      <c r="A44" t="s">
        <v>65</v>
      </c>
      <c r="B44" t="s">
        <v>20</v>
      </c>
      <c r="C44">
        <v>1380.06</v>
      </c>
      <c r="D44">
        <v>1666.68</v>
      </c>
      <c r="E44">
        <v>2011.44</v>
      </c>
      <c r="F44">
        <v>0</v>
      </c>
      <c r="I44" t="s">
        <v>65</v>
      </c>
      <c r="J44" t="s">
        <v>20</v>
      </c>
      <c r="K44" s="4"/>
      <c r="L44" s="4">
        <f t="shared" si="1"/>
        <v>1409.04126</v>
      </c>
      <c r="M44" s="4">
        <f t="shared" si="2"/>
        <v>1701.68028</v>
      </c>
      <c r="N44" s="4">
        <f t="shared" si="3"/>
        <v>2053.6802400000001</v>
      </c>
      <c r="O44" s="4">
        <f t="shared" si="4"/>
        <v>0</v>
      </c>
    </row>
    <row r="45" spans="1:15">
      <c r="A45" t="s">
        <v>66</v>
      </c>
      <c r="B45" t="s">
        <v>22</v>
      </c>
      <c r="C45">
        <v>1450</v>
      </c>
      <c r="D45">
        <v>1750</v>
      </c>
      <c r="E45">
        <v>0</v>
      </c>
      <c r="F45">
        <v>0</v>
      </c>
      <c r="I45" t="s">
        <v>66</v>
      </c>
      <c r="J45" t="s">
        <v>22</v>
      </c>
      <c r="K45" s="4"/>
      <c r="L45" s="4">
        <f t="shared" si="1"/>
        <v>1480.45</v>
      </c>
      <c r="M45" s="4">
        <f t="shared" si="2"/>
        <v>1786.75</v>
      </c>
      <c r="N45" s="4">
        <f t="shared" si="3"/>
        <v>0</v>
      </c>
      <c r="O45" s="4">
        <f t="shared" si="4"/>
        <v>0</v>
      </c>
    </row>
    <row r="46" spans="1:15">
      <c r="A46" t="s">
        <v>67</v>
      </c>
      <c r="B46" t="s">
        <v>20</v>
      </c>
      <c r="C46">
        <v>1248.48</v>
      </c>
      <c r="D46">
        <v>1564.68</v>
      </c>
      <c r="E46">
        <v>0</v>
      </c>
      <c r="F46">
        <v>0</v>
      </c>
      <c r="I46" t="s">
        <v>67</v>
      </c>
      <c r="J46" t="s">
        <v>20</v>
      </c>
      <c r="K46" s="4"/>
      <c r="L46" s="4">
        <f t="shared" si="1"/>
        <v>1274.6980800000001</v>
      </c>
      <c r="M46" s="4">
        <f t="shared" si="2"/>
        <v>1597.53828</v>
      </c>
      <c r="N46" s="4">
        <f t="shared" si="3"/>
        <v>0</v>
      </c>
      <c r="O46" s="4">
        <f t="shared" si="4"/>
        <v>0</v>
      </c>
    </row>
    <row r="47" spans="1:15">
      <c r="A47" t="s">
        <v>68</v>
      </c>
      <c r="B47" t="s">
        <v>20</v>
      </c>
      <c r="C47">
        <v>1508.58</v>
      </c>
      <c r="D47">
        <v>1820.7</v>
      </c>
      <c r="E47">
        <v>0</v>
      </c>
      <c r="F47">
        <v>0</v>
      </c>
      <c r="I47" t="s">
        <v>68</v>
      </c>
      <c r="J47" t="s">
        <v>20</v>
      </c>
      <c r="K47" s="4"/>
      <c r="L47" s="4">
        <f t="shared" si="1"/>
        <v>1540.26018</v>
      </c>
      <c r="M47" s="4">
        <f t="shared" si="2"/>
        <v>1858.9347</v>
      </c>
      <c r="N47" s="4">
        <f t="shared" si="3"/>
        <v>0</v>
      </c>
      <c r="O47" s="4">
        <f t="shared" si="4"/>
        <v>0</v>
      </c>
    </row>
    <row r="48" spans="1:15">
      <c r="A48" t="s">
        <v>69</v>
      </c>
      <c r="B48" t="s">
        <v>20</v>
      </c>
      <c r="C48">
        <v>1380.06</v>
      </c>
      <c r="D48">
        <v>1380.06</v>
      </c>
      <c r="E48">
        <v>1380.06</v>
      </c>
      <c r="F48">
        <v>1666.68</v>
      </c>
      <c r="I48" t="s">
        <v>69</v>
      </c>
      <c r="J48" t="s">
        <v>20</v>
      </c>
      <c r="K48" s="4"/>
      <c r="L48" s="4">
        <f t="shared" si="1"/>
        <v>1409.04126</v>
      </c>
      <c r="M48" s="4">
        <f t="shared" si="2"/>
        <v>1409.04126</v>
      </c>
      <c r="N48" s="4">
        <f t="shared" si="3"/>
        <v>1409.04126</v>
      </c>
      <c r="O48" s="4">
        <f t="shared" si="4"/>
        <v>1701.68028</v>
      </c>
    </row>
    <row r="49" spans="1:16">
      <c r="A49" t="s">
        <v>70</v>
      </c>
      <c r="B49" t="s">
        <v>20</v>
      </c>
      <c r="C49">
        <v>1261.74</v>
      </c>
      <c r="D49">
        <v>1261.74</v>
      </c>
      <c r="E49">
        <v>1261.74</v>
      </c>
      <c r="F49">
        <v>1261.74</v>
      </c>
      <c r="I49" t="s">
        <v>70</v>
      </c>
      <c r="J49" t="s">
        <v>20</v>
      </c>
      <c r="K49" s="4"/>
      <c r="L49" s="4">
        <f t="shared" si="1"/>
        <v>1288.2365400000001</v>
      </c>
      <c r="M49" s="4">
        <f t="shared" si="2"/>
        <v>1288.2365400000001</v>
      </c>
      <c r="N49" s="4">
        <f t="shared" si="3"/>
        <v>1288.2365400000001</v>
      </c>
      <c r="O49" s="4">
        <f t="shared" si="4"/>
        <v>1288.2365400000001</v>
      </c>
    </row>
    <row r="50" spans="1:16">
      <c r="A50" t="s">
        <v>71</v>
      </c>
      <c r="B50" t="s">
        <v>20</v>
      </c>
      <c r="C50">
        <v>1380.06</v>
      </c>
      <c r="D50">
        <v>1666.68</v>
      </c>
      <c r="E50">
        <v>0</v>
      </c>
      <c r="F50">
        <v>0</v>
      </c>
      <c r="I50" t="s">
        <v>71</v>
      </c>
      <c r="J50" t="s">
        <v>20</v>
      </c>
      <c r="K50" s="4"/>
      <c r="L50" s="4">
        <f t="shared" si="1"/>
        <v>1409.04126</v>
      </c>
      <c r="M50" s="4">
        <f t="shared" si="2"/>
        <v>1701.68028</v>
      </c>
      <c r="N50" s="4">
        <f t="shared" si="3"/>
        <v>0</v>
      </c>
      <c r="O50" s="4">
        <f t="shared" si="4"/>
        <v>0</v>
      </c>
    </row>
    <row r="51" spans="1:16">
      <c r="A51" t="s">
        <v>72</v>
      </c>
      <c r="B51" t="s">
        <v>20</v>
      </c>
      <c r="C51">
        <v>1230.1199999999999</v>
      </c>
      <c r="D51">
        <v>1486.14</v>
      </c>
      <c r="E51">
        <v>1794.18</v>
      </c>
      <c r="F51">
        <v>0</v>
      </c>
      <c r="I51" t="s">
        <v>72</v>
      </c>
      <c r="J51" t="s">
        <v>20</v>
      </c>
      <c r="K51" s="4"/>
      <c r="L51" s="4">
        <f t="shared" si="1"/>
        <v>1255.9525199999998</v>
      </c>
      <c r="M51" s="4">
        <f t="shared" si="2"/>
        <v>1517.3489400000001</v>
      </c>
      <c r="N51" s="4">
        <f t="shared" si="3"/>
        <v>1831.85778</v>
      </c>
      <c r="O51" s="4">
        <f t="shared" si="4"/>
        <v>0</v>
      </c>
    </row>
    <row r="52" spans="1:16">
      <c r="A52" t="s">
        <v>73</v>
      </c>
      <c r="B52" t="s">
        <v>20</v>
      </c>
      <c r="C52">
        <v>1450</v>
      </c>
      <c r="D52">
        <v>1750</v>
      </c>
      <c r="I52" t="s">
        <v>73</v>
      </c>
      <c r="J52" t="s">
        <v>20</v>
      </c>
      <c r="K52" s="4"/>
      <c r="L52" s="4">
        <f t="shared" si="1"/>
        <v>1480.45</v>
      </c>
      <c r="M52" s="4">
        <f t="shared" si="2"/>
        <v>1786.75</v>
      </c>
      <c r="N52" s="4">
        <f t="shared" si="3"/>
        <v>0</v>
      </c>
      <c r="O52" s="4">
        <f t="shared" si="4"/>
        <v>0</v>
      </c>
    </row>
    <row r="53" spans="1:16">
      <c r="A53" t="s">
        <v>74</v>
      </c>
      <c r="B53" t="s">
        <v>20</v>
      </c>
      <c r="C53">
        <v>1422.9</v>
      </c>
      <c r="D53">
        <v>1719.72</v>
      </c>
      <c r="E53">
        <v>1719.72</v>
      </c>
      <c r="F53">
        <v>0</v>
      </c>
      <c r="I53" t="s">
        <v>74</v>
      </c>
      <c r="J53" t="s">
        <v>20</v>
      </c>
      <c r="K53" s="4"/>
      <c r="L53" s="4">
        <f t="shared" si="1"/>
        <v>1452.7809000000002</v>
      </c>
      <c r="M53" s="4">
        <f t="shared" si="2"/>
        <v>1755.83412</v>
      </c>
      <c r="N53" s="4">
        <f t="shared" si="3"/>
        <v>1755.83412</v>
      </c>
      <c r="O53" s="4">
        <f t="shared" si="4"/>
        <v>0</v>
      </c>
    </row>
    <row r="54" spans="1:16">
      <c r="A54" t="s">
        <v>75</v>
      </c>
      <c r="B54" t="s">
        <v>27</v>
      </c>
      <c r="C54">
        <v>1248.48</v>
      </c>
      <c r="D54">
        <v>0</v>
      </c>
      <c r="E54">
        <v>0</v>
      </c>
      <c r="F54">
        <v>0</v>
      </c>
      <c r="I54" t="s">
        <v>75</v>
      </c>
      <c r="J54" t="s">
        <v>27</v>
      </c>
      <c r="K54" s="4"/>
      <c r="L54" s="4">
        <f t="shared" si="1"/>
        <v>1274.6980800000001</v>
      </c>
      <c r="M54" s="4">
        <f t="shared" si="2"/>
        <v>0</v>
      </c>
      <c r="N54" s="4">
        <f t="shared" si="3"/>
        <v>0</v>
      </c>
      <c r="O54" s="4">
        <f t="shared" si="4"/>
        <v>0</v>
      </c>
    </row>
    <row r="55" spans="1:16">
      <c r="A55" t="s">
        <v>75</v>
      </c>
      <c r="B55" t="s">
        <v>20</v>
      </c>
      <c r="C55">
        <v>1248.48</v>
      </c>
      <c r="D55">
        <v>1248.48</v>
      </c>
      <c r="E55">
        <v>0</v>
      </c>
      <c r="F55">
        <v>0</v>
      </c>
      <c r="I55" t="s">
        <v>75</v>
      </c>
      <c r="J55" t="s">
        <v>20</v>
      </c>
      <c r="K55" s="4"/>
      <c r="L55" s="4">
        <f>+(C55*$Q$2)+C55</f>
        <v>1274.6980800000001</v>
      </c>
      <c r="M55" s="4">
        <f>+(D55*$Q$2)+D55</f>
        <v>1274.6980800000001</v>
      </c>
      <c r="N55" s="4">
        <f t="shared" si="3"/>
        <v>0</v>
      </c>
      <c r="O55" s="4">
        <f t="shared" si="4"/>
        <v>0</v>
      </c>
      <c r="P55" t="s">
        <v>76</v>
      </c>
    </row>
    <row r="56" spans="1:16">
      <c r="A56" t="s">
        <v>77</v>
      </c>
      <c r="B56" t="s">
        <v>20</v>
      </c>
      <c r="C56">
        <v>1380.06</v>
      </c>
      <c r="D56">
        <v>1666.68</v>
      </c>
      <c r="E56">
        <v>2011.44</v>
      </c>
      <c r="F56">
        <v>1666.68</v>
      </c>
      <c r="I56" t="s">
        <v>77</v>
      </c>
      <c r="J56" t="s">
        <v>20</v>
      </c>
      <c r="K56" s="4"/>
      <c r="L56" s="4">
        <f t="shared" si="1"/>
        <v>1409.04126</v>
      </c>
      <c r="M56" s="4">
        <f t="shared" si="2"/>
        <v>1701.68028</v>
      </c>
      <c r="N56" s="4">
        <f t="shared" si="3"/>
        <v>2053.6802400000001</v>
      </c>
      <c r="O56" s="4">
        <f t="shared" si="4"/>
        <v>1701.68028</v>
      </c>
    </row>
    <row r="57" spans="1:16">
      <c r="A57" t="s">
        <v>78</v>
      </c>
      <c r="B57" t="s">
        <v>20</v>
      </c>
      <c r="C57">
        <v>1450</v>
      </c>
      <c r="D57">
        <v>1750</v>
      </c>
      <c r="E57">
        <v>0</v>
      </c>
      <c r="F57">
        <v>0</v>
      </c>
      <c r="I57" t="s">
        <v>78</v>
      </c>
      <c r="J57" t="s">
        <v>20</v>
      </c>
      <c r="K57" s="4"/>
      <c r="L57" s="4">
        <f t="shared" si="1"/>
        <v>1480.45</v>
      </c>
      <c r="M57" s="4">
        <f t="shared" si="2"/>
        <v>1786.75</v>
      </c>
      <c r="N57" s="4">
        <f t="shared" si="3"/>
        <v>0</v>
      </c>
      <c r="O57" s="4">
        <f t="shared" si="4"/>
        <v>0</v>
      </c>
    </row>
    <row r="58" spans="1:16">
      <c r="A58" t="s">
        <v>79</v>
      </c>
      <c r="B58" t="s">
        <v>20</v>
      </c>
      <c r="C58">
        <v>1362.72</v>
      </c>
      <c r="D58">
        <v>1602.42</v>
      </c>
      <c r="E58">
        <v>1602.42</v>
      </c>
      <c r="F58">
        <v>0</v>
      </c>
      <c r="I58" t="s">
        <v>79</v>
      </c>
      <c r="J58" t="s">
        <v>20</v>
      </c>
      <c r="K58" s="4"/>
      <c r="L58" s="4">
        <f t="shared" si="1"/>
        <v>1391.3371200000001</v>
      </c>
      <c r="M58" s="4">
        <f t="shared" si="2"/>
        <v>1636.0708200000001</v>
      </c>
      <c r="N58" s="4">
        <f t="shared" si="3"/>
        <v>1636.0708200000001</v>
      </c>
      <c r="O58" s="4">
        <f t="shared" si="4"/>
        <v>0</v>
      </c>
    </row>
    <row r="59" spans="1:16">
      <c r="A59" t="s">
        <v>81</v>
      </c>
      <c r="B59" t="s">
        <v>82</v>
      </c>
      <c r="C59">
        <v>1295.4000000000001</v>
      </c>
      <c r="D59">
        <v>0</v>
      </c>
      <c r="E59">
        <v>0</v>
      </c>
      <c r="F59">
        <v>0</v>
      </c>
      <c r="I59" t="s">
        <v>81</v>
      </c>
      <c r="J59" t="s">
        <v>82</v>
      </c>
      <c r="K59" s="4"/>
      <c r="L59" s="4">
        <f>+(C59*$Q$2)+C59</f>
        <v>1322.6034000000002</v>
      </c>
      <c r="M59" s="4">
        <f t="shared" si="2"/>
        <v>0</v>
      </c>
      <c r="N59" s="4">
        <f t="shared" si="3"/>
        <v>0</v>
      </c>
      <c r="O59" s="4">
        <f t="shared" si="4"/>
        <v>0</v>
      </c>
      <c r="P59" t="s">
        <v>80</v>
      </c>
    </row>
    <row r="60" spans="1:16">
      <c r="A60" t="s">
        <v>81</v>
      </c>
      <c r="B60" t="s">
        <v>82</v>
      </c>
      <c r="C60">
        <v>1500</v>
      </c>
      <c r="D60">
        <v>0</v>
      </c>
      <c r="E60">
        <v>0</v>
      </c>
      <c r="F60">
        <v>0</v>
      </c>
      <c r="I60" t="s">
        <v>81</v>
      </c>
      <c r="J60" t="s">
        <v>82</v>
      </c>
      <c r="K60" s="4"/>
      <c r="L60" s="4">
        <f t="shared" si="1"/>
        <v>1531.5</v>
      </c>
      <c r="M60" s="4">
        <f t="shared" si="2"/>
        <v>0</v>
      </c>
      <c r="N60" s="4">
        <f t="shared" si="3"/>
        <v>0</v>
      </c>
      <c r="O60" s="4">
        <f t="shared" si="4"/>
        <v>0</v>
      </c>
      <c r="P60" t="s">
        <v>83</v>
      </c>
    </row>
    <row r="61" spans="1:16">
      <c r="A61" t="s">
        <v>84</v>
      </c>
      <c r="B61" t="s">
        <v>20</v>
      </c>
      <c r="C61">
        <v>1479</v>
      </c>
      <c r="D61">
        <v>1785</v>
      </c>
      <c r="I61" t="s">
        <v>84</v>
      </c>
      <c r="J61" t="s">
        <v>20</v>
      </c>
      <c r="K61" s="4"/>
      <c r="L61" s="4">
        <f t="shared" si="1"/>
        <v>1510.059</v>
      </c>
      <c r="M61" s="4">
        <f t="shared" si="2"/>
        <v>1822.4849999999999</v>
      </c>
      <c r="N61" s="4">
        <f t="shared" si="3"/>
        <v>0</v>
      </c>
      <c r="O61" s="4">
        <f t="shared" si="4"/>
        <v>0</v>
      </c>
    </row>
    <row r="62" spans="1:16">
      <c r="A62" t="s">
        <v>85</v>
      </c>
      <c r="B62" t="s">
        <v>22</v>
      </c>
      <c r="C62">
        <v>1494.3</v>
      </c>
      <c r="D62">
        <v>1805.4</v>
      </c>
      <c r="E62">
        <v>2179</v>
      </c>
      <c r="F62">
        <v>1494</v>
      </c>
      <c r="I62" t="s">
        <v>85</v>
      </c>
      <c r="J62" t="s">
        <v>22</v>
      </c>
      <c r="K62" s="4"/>
      <c r="L62" s="4">
        <f t="shared" si="1"/>
        <v>1525.6803</v>
      </c>
      <c r="M62" s="4">
        <f t="shared" si="2"/>
        <v>1843.3134</v>
      </c>
      <c r="N62" s="4">
        <f t="shared" si="3"/>
        <v>2224.759</v>
      </c>
      <c r="O62" s="4">
        <f t="shared" si="4"/>
        <v>1525.374</v>
      </c>
    </row>
    <row r="63" spans="1:16">
      <c r="A63" t="s">
        <v>86</v>
      </c>
      <c r="B63" t="s">
        <v>20</v>
      </c>
      <c r="C63">
        <v>1380.06</v>
      </c>
      <c r="D63">
        <v>1666.68</v>
      </c>
      <c r="E63">
        <v>2011.44</v>
      </c>
      <c r="F63">
        <v>1666.68</v>
      </c>
      <c r="I63" t="s">
        <v>86</v>
      </c>
      <c r="J63" t="s">
        <v>20</v>
      </c>
      <c r="K63" s="4"/>
      <c r="L63" s="4">
        <f t="shared" si="1"/>
        <v>1409.04126</v>
      </c>
      <c r="M63" s="4">
        <f t="shared" si="2"/>
        <v>1701.68028</v>
      </c>
      <c r="N63" s="4">
        <f t="shared" si="3"/>
        <v>2053.6802400000001</v>
      </c>
      <c r="O63" s="4">
        <f t="shared" si="4"/>
        <v>1701.68028</v>
      </c>
    </row>
    <row r="64" spans="1:16">
      <c r="A64" t="s">
        <v>87</v>
      </c>
      <c r="B64" t="s">
        <v>20</v>
      </c>
      <c r="C64">
        <v>1750</v>
      </c>
      <c r="D64">
        <v>2000</v>
      </c>
      <c r="I64" t="s">
        <v>87</v>
      </c>
      <c r="J64" t="s">
        <v>20</v>
      </c>
      <c r="K64" s="4"/>
      <c r="L64" s="4">
        <f>+C64</f>
        <v>1750</v>
      </c>
      <c r="M64" s="4">
        <f>+D64</f>
        <v>2000</v>
      </c>
      <c r="N64" s="4">
        <f t="shared" si="3"/>
        <v>0</v>
      </c>
      <c r="O64" s="4">
        <f t="shared" si="4"/>
        <v>0</v>
      </c>
      <c r="P64" s="9">
        <v>46388</v>
      </c>
    </row>
    <row r="65" spans="1:21">
      <c r="A65" t="s">
        <v>88</v>
      </c>
      <c r="B65">
        <v>1500</v>
      </c>
      <c r="C65">
        <v>1750</v>
      </c>
      <c r="D65">
        <v>2000</v>
      </c>
      <c r="E65">
        <v>2250</v>
      </c>
      <c r="I65" t="s">
        <v>88</v>
      </c>
      <c r="J65" t="s">
        <v>20</v>
      </c>
      <c r="K65" s="4">
        <f t="shared" si="1"/>
        <v>1531.5</v>
      </c>
      <c r="L65" s="4">
        <f t="shared" si="1"/>
        <v>1786.75</v>
      </c>
      <c r="M65" s="4">
        <f t="shared" si="2"/>
        <v>2042</v>
      </c>
      <c r="N65" s="4">
        <f t="shared" si="3"/>
        <v>2297.25</v>
      </c>
      <c r="O65" s="4">
        <f t="shared" si="4"/>
        <v>0</v>
      </c>
    </row>
    <row r="66" spans="1:21">
      <c r="A66" t="s">
        <v>90</v>
      </c>
      <c r="B66" t="s">
        <v>27</v>
      </c>
      <c r="C66" t="s">
        <v>200</v>
      </c>
      <c r="D66" t="s">
        <v>201</v>
      </c>
      <c r="E66">
        <v>0</v>
      </c>
      <c r="F66">
        <v>0</v>
      </c>
      <c r="I66" t="s">
        <v>90</v>
      </c>
      <c r="J66" t="s">
        <v>27</v>
      </c>
      <c r="L66" t="s">
        <v>91</v>
      </c>
      <c r="M66" t="s">
        <v>92</v>
      </c>
      <c r="N66">
        <f t="shared" si="3"/>
        <v>0</v>
      </c>
      <c r="O66">
        <f t="shared" si="4"/>
        <v>0</v>
      </c>
      <c r="P66" s="7" t="s">
        <v>89</v>
      </c>
      <c r="Q66" s="3"/>
      <c r="R66" s="3"/>
      <c r="S66" s="3"/>
      <c r="T66" s="3"/>
      <c r="U66" s="3"/>
    </row>
    <row r="67" spans="1:21">
      <c r="A67" t="s">
        <v>93</v>
      </c>
      <c r="B67" t="s">
        <v>20</v>
      </c>
      <c r="C67">
        <v>1331.1</v>
      </c>
      <c r="D67">
        <v>1606.5</v>
      </c>
      <c r="I67" t="s">
        <v>93</v>
      </c>
      <c r="J67" t="s">
        <v>20</v>
      </c>
      <c r="L67" s="4">
        <f t="shared" si="1"/>
        <v>1359.0530999999999</v>
      </c>
      <c r="M67" s="4">
        <f t="shared" si="2"/>
        <v>1640.2365</v>
      </c>
      <c r="N67" s="4">
        <f t="shared" si="3"/>
        <v>0</v>
      </c>
      <c r="O67" s="4">
        <f t="shared" si="4"/>
        <v>0</v>
      </c>
    </row>
    <row r="68" spans="1:21">
      <c r="A68" t="s">
        <v>95</v>
      </c>
      <c r="B68" t="s">
        <v>27</v>
      </c>
      <c r="C68">
        <v>1238.28</v>
      </c>
      <c r="I68" t="s">
        <v>95</v>
      </c>
      <c r="J68" t="s">
        <v>27</v>
      </c>
      <c r="L68" s="4">
        <f t="shared" si="1"/>
        <v>1264.28388</v>
      </c>
      <c r="M68" s="4">
        <f t="shared" si="2"/>
        <v>0</v>
      </c>
      <c r="N68" s="4">
        <f t="shared" si="3"/>
        <v>0</v>
      </c>
      <c r="O68" s="4">
        <f t="shared" si="4"/>
        <v>0</v>
      </c>
      <c r="P68" t="s">
        <v>94</v>
      </c>
    </row>
    <row r="69" spans="1:21">
      <c r="A69" t="s">
        <v>96</v>
      </c>
      <c r="B69" t="s">
        <v>27</v>
      </c>
      <c r="C69">
        <v>1256.6400000000001</v>
      </c>
      <c r="D69">
        <v>0</v>
      </c>
      <c r="E69">
        <v>0</v>
      </c>
      <c r="F69">
        <v>0</v>
      </c>
      <c r="I69" t="s">
        <v>96</v>
      </c>
      <c r="J69" t="s">
        <v>27</v>
      </c>
      <c r="L69" s="4">
        <f t="shared" si="1"/>
        <v>1283.02944</v>
      </c>
      <c r="M69" s="4">
        <f t="shared" si="2"/>
        <v>0</v>
      </c>
      <c r="N69" s="4">
        <f t="shared" si="3"/>
        <v>0</v>
      </c>
      <c r="O69" s="4">
        <f t="shared" si="4"/>
        <v>0</v>
      </c>
    </row>
    <row r="70" spans="1:21">
      <c r="A70" t="s">
        <v>97</v>
      </c>
      <c r="B70" t="s">
        <v>20</v>
      </c>
      <c r="C70">
        <v>1479</v>
      </c>
      <c r="D70">
        <v>1785</v>
      </c>
      <c r="E70">
        <v>0</v>
      </c>
      <c r="F70">
        <v>0</v>
      </c>
      <c r="I70" t="s">
        <v>97</v>
      </c>
      <c r="J70" t="s">
        <v>20</v>
      </c>
      <c r="L70" s="4">
        <f t="shared" si="1"/>
        <v>1510.059</v>
      </c>
      <c r="M70" s="4">
        <f t="shared" si="2"/>
        <v>1822.4849999999999</v>
      </c>
      <c r="N70" s="4">
        <f t="shared" si="3"/>
        <v>0</v>
      </c>
      <c r="O70" s="4">
        <f t="shared" si="4"/>
        <v>0</v>
      </c>
    </row>
    <row r="71" spans="1:21">
      <c r="A71" t="s">
        <v>98</v>
      </c>
      <c r="B71" t="s">
        <v>20</v>
      </c>
      <c r="C71">
        <v>1508.58</v>
      </c>
      <c r="D71">
        <v>1820.7</v>
      </c>
      <c r="E71">
        <v>0</v>
      </c>
      <c r="F71">
        <v>0</v>
      </c>
      <c r="I71" t="s">
        <v>98</v>
      </c>
      <c r="J71" t="s">
        <v>20</v>
      </c>
      <c r="L71" s="4">
        <f t="shared" ref="L71:L94" si="5">+(C71*$Q$2)+C71</f>
        <v>1540.26018</v>
      </c>
      <c r="M71" s="4">
        <f t="shared" si="2"/>
        <v>1858.9347</v>
      </c>
      <c r="N71" s="4">
        <f t="shared" si="3"/>
        <v>0</v>
      </c>
      <c r="O71" s="4">
        <f t="shared" si="4"/>
        <v>0</v>
      </c>
    </row>
    <row r="72" spans="1:21">
      <c r="A72" t="s">
        <v>202</v>
      </c>
      <c r="B72" t="s">
        <v>22</v>
      </c>
      <c r="C72">
        <v>1362</v>
      </c>
      <c r="D72">
        <v>1477</v>
      </c>
      <c r="I72" t="s">
        <v>202</v>
      </c>
      <c r="J72" t="s">
        <v>22</v>
      </c>
      <c r="L72" s="4">
        <f t="shared" si="5"/>
        <v>1390.6020000000001</v>
      </c>
      <c r="M72" s="4">
        <f t="shared" si="2"/>
        <v>1508.0170000000001</v>
      </c>
      <c r="N72" s="4">
        <f t="shared" si="3"/>
        <v>0</v>
      </c>
      <c r="O72" s="4">
        <f t="shared" si="4"/>
        <v>0</v>
      </c>
    </row>
    <row r="73" spans="1:21">
      <c r="A73" t="s">
        <v>203</v>
      </c>
      <c r="B73" t="s">
        <v>20</v>
      </c>
      <c r="I73" t="s">
        <v>203</v>
      </c>
      <c r="J73" t="s">
        <v>20</v>
      </c>
      <c r="L73" s="4">
        <f t="shared" si="5"/>
        <v>0</v>
      </c>
      <c r="M73" s="4">
        <f t="shared" si="2"/>
        <v>0</v>
      </c>
      <c r="N73" s="4">
        <f t="shared" si="3"/>
        <v>0</v>
      </c>
      <c r="O73" s="4">
        <f t="shared" si="4"/>
        <v>0</v>
      </c>
    </row>
    <row r="74" spans="1:21">
      <c r="A74" t="s">
        <v>101</v>
      </c>
      <c r="B74" t="s">
        <v>20</v>
      </c>
      <c r="C74">
        <v>1286.22</v>
      </c>
      <c r="I74" t="s">
        <v>101</v>
      </c>
      <c r="J74" t="s">
        <v>20</v>
      </c>
      <c r="L74" s="4">
        <f t="shared" si="5"/>
        <v>1313.23062</v>
      </c>
      <c r="M74" s="4">
        <f t="shared" si="2"/>
        <v>0</v>
      </c>
      <c r="N74" s="4">
        <f t="shared" si="3"/>
        <v>0</v>
      </c>
      <c r="O74" s="4">
        <f t="shared" si="4"/>
        <v>0</v>
      </c>
    </row>
    <row r="75" spans="1:21">
      <c r="A75" t="s">
        <v>102</v>
      </c>
      <c r="B75" t="s">
        <v>20</v>
      </c>
      <c r="C75">
        <v>1508.58</v>
      </c>
      <c r="D75">
        <v>1820.7</v>
      </c>
      <c r="E75">
        <v>0</v>
      </c>
      <c r="F75">
        <v>0</v>
      </c>
      <c r="I75" t="s">
        <v>102</v>
      </c>
      <c r="J75" t="s">
        <v>20</v>
      </c>
      <c r="L75" s="4">
        <f t="shared" si="5"/>
        <v>1540.26018</v>
      </c>
      <c r="M75" s="4">
        <f t="shared" si="2"/>
        <v>1858.9347</v>
      </c>
      <c r="N75" s="4">
        <f t="shared" si="3"/>
        <v>0</v>
      </c>
      <c r="O75" s="4">
        <f t="shared" si="4"/>
        <v>0</v>
      </c>
    </row>
    <row r="76" spans="1:21">
      <c r="A76" t="s">
        <v>103</v>
      </c>
      <c r="B76" t="s">
        <v>20</v>
      </c>
      <c r="C76">
        <v>1422.9</v>
      </c>
      <c r="D76">
        <v>1719.72</v>
      </c>
      <c r="E76">
        <v>2076.7199999999998</v>
      </c>
      <c r="F76">
        <v>1719.72</v>
      </c>
      <c r="I76" t="s">
        <v>103</v>
      </c>
      <c r="J76" t="s">
        <v>20</v>
      </c>
      <c r="L76" s="4">
        <f t="shared" si="5"/>
        <v>1452.7809000000002</v>
      </c>
      <c r="M76" s="4">
        <f t="shared" si="2"/>
        <v>1755.83412</v>
      </c>
      <c r="N76" s="4">
        <f t="shared" si="3"/>
        <v>2120.3311199999998</v>
      </c>
      <c r="O76" s="4">
        <f t="shared" si="4"/>
        <v>1755.83412</v>
      </c>
    </row>
    <row r="77" spans="1:21">
      <c r="A77" t="s">
        <v>104</v>
      </c>
      <c r="B77" t="s">
        <v>20</v>
      </c>
      <c r="C77">
        <v>1479</v>
      </c>
      <c r="D77">
        <v>1785</v>
      </c>
      <c r="I77" t="s">
        <v>104</v>
      </c>
      <c r="J77" t="s">
        <v>20</v>
      </c>
      <c r="L77" s="4">
        <f>+(C77*$Q$2)+C77</f>
        <v>1510.059</v>
      </c>
      <c r="M77" s="4">
        <f>+(D77*$Q$2)+D77</f>
        <v>1822.4849999999999</v>
      </c>
      <c r="N77" s="4">
        <f t="shared" si="3"/>
        <v>0</v>
      </c>
      <c r="O77" s="4">
        <f t="shared" si="4"/>
        <v>0</v>
      </c>
    </row>
    <row r="78" spans="1:21">
      <c r="A78" t="s">
        <v>105</v>
      </c>
      <c r="B78" t="s">
        <v>20</v>
      </c>
      <c r="C78">
        <v>1509</v>
      </c>
      <c r="D78">
        <v>1821</v>
      </c>
      <c r="I78" t="s">
        <v>105</v>
      </c>
      <c r="J78" t="s">
        <v>20</v>
      </c>
      <c r="L78" s="4">
        <f t="shared" si="5"/>
        <v>1540.6890000000001</v>
      </c>
      <c r="M78" s="4">
        <f t="shared" si="2"/>
        <v>1859.241</v>
      </c>
      <c r="N78" s="4">
        <f t="shared" si="3"/>
        <v>0</v>
      </c>
      <c r="O78" s="4">
        <f t="shared" si="4"/>
        <v>0</v>
      </c>
    </row>
    <row r="79" spans="1:21">
      <c r="A79" t="s">
        <v>106</v>
      </c>
      <c r="B79" t="s">
        <v>20</v>
      </c>
      <c r="C79">
        <v>1450</v>
      </c>
      <c r="D79">
        <v>1750</v>
      </c>
      <c r="I79" t="s">
        <v>106</v>
      </c>
      <c r="J79" t="s">
        <v>20</v>
      </c>
      <c r="L79" s="4">
        <f t="shared" si="5"/>
        <v>1480.45</v>
      </c>
      <c r="M79" s="4">
        <f t="shared" si="2"/>
        <v>1786.75</v>
      </c>
      <c r="N79" s="4">
        <f t="shared" si="3"/>
        <v>0</v>
      </c>
      <c r="O79" s="4">
        <f t="shared" si="4"/>
        <v>0</v>
      </c>
    </row>
    <row r="80" spans="1:21">
      <c r="A80" t="s">
        <v>107</v>
      </c>
      <c r="B80" t="s">
        <v>20</v>
      </c>
      <c r="C80">
        <v>1479</v>
      </c>
      <c r="D80">
        <v>1785</v>
      </c>
      <c r="E80">
        <v>0</v>
      </c>
      <c r="F80">
        <v>0</v>
      </c>
      <c r="I80" t="s">
        <v>107</v>
      </c>
      <c r="J80" t="s">
        <v>20</v>
      </c>
      <c r="L80" s="4">
        <f t="shared" si="5"/>
        <v>1510.059</v>
      </c>
      <c r="M80" s="4">
        <f t="shared" si="2"/>
        <v>1822.4849999999999</v>
      </c>
      <c r="N80" s="4">
        <f t="shared" si="3"/>
        <v>0</v>
      </c>
      <c r="O80" s="4">
        <f t="shared" si="4"/>
        <v>0</v>
      </c>
    </row>
    <row r="81" spans="1:16">
      <c r="A81" t="s">
        <v>108</v>
      </c>
      <c r="B81" t="s">
        <v>27</v>
      </c>
      <c r="C81">
        <v>1304.58</v>
      </c>
      <c r="D81">
        <v>0</v>
      </c>
      <c r="E81">
        <v>1476.96</v>
      </c>
      <c r="F81">
        <v>0</v>
      </c>
      <c r="I81" t="s">
        <v>108</v>
      </c>
      <c r="J81" t="s">
        <v>27</v>
      </c>
      <c r="L81" s="4">
        <f t="shared" si="5"/>
        <v>1331.9761799999999</v>
      </c>
      <c r="M81" s="4">
        <f t="shared" si="2"/>
        <v>0</v>
      </c>
      <c r="N81" s="4">
        <f t="shared" si="3"/>
        <v>1507.9761599999999</v>
      </c>
      <c r="O81" s="4">
        <f t="shared" si="4"/>
        <v>0</v>
      </c>
    </row>
    <row r="82" spans="1:16">
      <c r="A82" t="s">
        <v>108</v>
      </c>
      <c r="B82" t="s">
        <v>27</v>
      </c>
      <c r="C82">
        <v>1304.58</v>
      </c>
      <c r="D82">
        <v>0</v>
      </c>
      <c r="E82">
        <v>0</v>
      </c>
      <c r="F82">
        <v>0</v>
      </c>
      <c r="I82" t="s">
        <v>108</v>
      </c>
      <c r="J82" t="s">
        <v>27</v>
      </c>
      <c r="L82" s="4">
        <f t="shared" si="5"/>
        <v>1331.9761799999999</v>
      </c>
      <c r="M82" s="4">
        <f t="shared" si="2"/>
        <v>0</v>
      </c>
      <c r="N82" s="4">
        <f t="shared" si="3"/>
        <v>0</v>
      </c>
      <c r="O82" s="4">
        <f t="shared" si="4"/>
        <v>0</v>
      </c>
      <c r="P82" t="s">
        <v>109</v>
      </c>
    </row>
    <row r="83" spans="1:16">
      <c r="A83" t="s">
        <v>110</v>
      </c>
      <c r="B83" t="s">
        <v>20</v>
      </c>
      <c r="C83">
        <v>1380.06</v>
      </c>
      <c r="D83">
        <v>1666.68</v>
      </c>
      <c r="E83">
        <v>2011.44</v>
      </c>
      <c r="F83">
        <v>1666.68</v>
      </c>
      <c r="I83" t="s">
        <v>110</v>
      </c>
      <c r="J83" t="s">
        <v>20</v>
      </c>
      <c r="L83" s="4">
        <f t="shared" si="5"/>
        <v>1409.04126</v>
      </c>
      <c r="M83" s="4">
        <f t="shared" si="2"/>
        <v>1701.68028</v>
      </c>
      <c r="N83" s="4">
        <f t="shared" si="3"/>
        <v>2053.6802400000001</v>
      </c>
      <c r="O83" s="4">
        <f t="shared" si="4"/>
        <v>1701.68028</v>
      </c>
    </row>
    <row r="84" spans="1:16">
      <c r="A84" t="s">
        <v>112</v>
      </c>
      <c r="B84" t="s">
        <v>20</v>
      </c>
      <c r="C84">
        <v>1350</v>
      </c>
      <c r="D84">
        <v>1575</v>
      </c>
      <c r="E84">
        <v>1800</v>
      </c>
      <c r="F84">
        <v>2025</v>
      </c>
      <c r="I84" t="s">
        <v>112</v>
      </c>
      <c r="J84" t="s">
        <v>20</v>
      </c>
      <c r="L84" s="4">
        <f>+C84</f>
        <v>1350</v>
      </c>
      <c r="M84" s="4">
        <f t="shared" ref="M84:O84" si="6">+D84</f>
        <v>1575</v>
      </c>
      <c r="N84" s="4">
        <f t="shared" si="6"/>
        <v>1800</v>
      </c>
      <c r="O84" s="4">
        <f t="shared" si="6"/>
        <v>2025</v>
      </c>
      <c r="P84" s="10" t="s">
        <v>111</v>
      </c>
    </row>
    <row r="85" spans="1:16">
      <c r="A85" t="s">
        <v>113</v>
      </c>
      <c r="B85" t="s">
        <v>27</v>
      </c>
      <c r="C85">
        <v>1304.58</v>
      </c>
      <c r="D85">
        <v>0</v>
      </c>
      <c r="E85">
        <v>0</v>
      </c>
      <c r="F85">
        <v>0</v>
      </c>
      <c r="I85" t="s">
        <v>113</v>
      </c>
      <c r="J85" t="s">
        <v>27</v>
      </c>
      <c r="L85" s="4">
        <f t="shared" si="5"/>
        <v>1331.9761799999999</v>
      </c>
      <c r="M85" s="4">
        <f t="shared" si="2"/>
        <v>0</v>
      </c>
      <c r="N85" s="4">
        <f t="shared" si="3"/>
        <v>0</v>
      </c>
      <c r="O85" s="4">
        <f t="shared" si="4"/>
        <v>0</v>
      </c>
    </row>
    <row r="86" spans="1:16">
      <c r="A86" t="s">
        <v>114</v>
      </c>
      <c r="B86" t="s">
        <v>27</v>
      </c>
      <c r="C86">
        <v>1219.92</v>
      </c>
      <c r="D86">
        <v>0</v>
      </c>
      <c r="E86">
        <v>0</v>
      </c>
      <c r="F86">
        <v>0</v>
      </c>
      <c r="I86" t="s">
        <v>114</v>
      </c>
      <c r="J86" t="s">
        <v>27</v>
      </c>
      <c r="L86" s="4">
        <f t="shared" si="5"/>
        <v>1245.5383200000001</v>
      </c>
      <c r="M86" s="4">
        <f t="shared" ref="M86:M104" si="7">+(D86*$Q$2)+D86</f>
        <v>0</v>
      </c>
      <c r="N86" s="4">
        <f t="shared" ref="N86:N105" si="8">+(E86*$Q$2)+E86</f>
        <v>0</v>
      </c>
      <c r="O86" s="4">
        <f t="shared" ref="O86:O105" si="9">+(F86*$Q$2)+F86</f>
        <v>0</v>
      </c>
    </row>
    <row r="87" spans="1:16">
      <c r="A87" t="s">
        <v>115</v>
      </c>
      <c r="B87" t="s">
        <v>22</v>
      </c>
      <c r="C87">
        <v>1450</v>
      </c>
      <c r="D87">
        <v>1750</v>
      </c>
      <c r="I87" t="s">
        <v>115</v>
      </c>
      <c r="J87" t="s">
        <v>22</v>
      </c>
      <c r="L87" s="4">
        <f t="shared" si="5"/>
        <v>1480.45</v>
      </c>
      <c r="M87" s="4">
        <f>+(D87*$Q$2)+D87</f>
        <v>1786.75</v>
      </c>
      <c r="N87" s="4">
        <f t="shared" si="8"/>
        <v>0</v>
      </c>
      <c r="O87" s="4">
        <f t="shared" si="9"/>
        <v>0</v>
      </c>
    </row>
    <row r="88" spans="1:16">
      <c r="A88" t="s">
        <v>116</v>
      </c>
      <c r="B88" t="s">
        <v>22</v>
      </c>
      <c r="C88">
        <v>1220</v>
      </c>
      <c r="D88">
        <v>1220</v>
      </c>
      <c r="E88">
        <v>1220</v>
      </c>
      <c r="I88" t="s">
        <v>116</v>
      </c>
      <c r="J88" t="s">
        <v>22</v>
      </c>
      <c r="L88" s="4">
        <f>+(C88*$Q$2)+C88</f>
        <v>1245.6199999999999</v>
      </c>
      <c r="M88" s="4">
        <f>+(D88*$Q$2)+D88</f>
        <v>1245.6199999999999</v>
      </c>
      <c r="N88" s="4">
        <f>+(E88*$Q$2)+E88</f>
        <v>1245.6199999999999</v>
      </c>
      <c r="O88" s="4">
        <f t="shared" si="9"/>
        <v>0</v>
      </c>
    </row>
    <row r="89" spans="1:16">
      <c r="A89" t="s">
        <v>118</v>
      </c>
      <c r="B89" t="s">
        <v>20</v>
      </c>
      <c r="C89">
        <v>184.62</v>
      </c>
      <c r="D89">
        <v>216.24</v>
      </c>
      <c r="E89">
        <v>216.24</v>
      </c>
      <c r="F89">
        <v>0</v>
      </c>
      <c r="I89" t="s">
        <v>118</v>
      </c>
      <c r="J89" t="s">
        <v>20</v>
      </c>
      <c r="L89" s="4">
        <f t="shared" si="5"/>
        <v>188.49701999999999</v>
      </c>
      <c r="M89" s="4">
        <f t="shared" si="7"/>
        <v>220.78104000000002</v>
      </c>
      <c r="N89" s="4">
        <f>+(E89*$Q$2)+E89</f>
        <v>220.78104000000002</v>
      </c>
      <c r="O89" s="4">
        <f t="shared" si="9"/>
        <v>0</v>
      </c>
      <c r="P89" s="1" t="s">
        <v>117</v>
      </c>
    </row>
    <row r="90" spans="1:16">
      <c r="A90" t="s">
        <v>119</v>
      </c>
      <c r="B90" t="s">
        <v>20</v>
      </c>
      <c r="C90">
        <v>1508.58</v>
      </c>
      <c r="D90">
        <v>1820.7</v>
      </c>
      <c r="E90">
        <v>0</v>
      </c>
      <c r="F90">
        <v>0</v>
      </c>
      <c r="I90" t="s">
        <v>119</v>
      </c>
      <c r="J90" t="s">
        <v>20</v>
      </c>
      <c r="L90" s="4">
        <f t="shared" si="5"/>
        <v>1540.26018</v>
      </c>
      <c r="M90" s="4">
        <f t="shared" si="7"/>
        <v>1858.9347</v>
      </c>
      <c r="N90" s="4">
        <f t="shared" si="8"/>
        <v>0</v>
      </c>
      <c r="O90" s="4">
        <f t="shared" si="9"/>
        <v>0</v>
      </c>
    </row>
    <row r="91" spans="1:16">
      <c r="A91" t="s">
        <v>120</v>
      </c>
      <c r="B91" t="s">
        <v>20</v>
      </c>
      <c r="C91">
        <v>1479</v>
      </c>
      <c r="D91">
        <v>1785</v>
      </c>
      <c r="E91">
        <v>0</v>
      </c>
      <c r="F91">
        <v>0</v>
      </c>
      <c r="I91" t="s">
        <v>120</v>
      </c>
      <c r="J91" t="s">
        <v>20</v>
      </c>
      <c r="L91" s="4">
        <f t="shared" si="5"/>
        <v>1510.059</v>
      </c>
      <c r="M91" s="4">
        <f t="shared" si="7"/>
        <v>1822.4849999999999</v>
      </c>
      <c r="N91" s="4">
        <f t="shared" si="8"/>
        <v>0</v>
      </c>
      <c r="O91" s="4">
        <f t="shared" si="9"/>
        <v>0</v>
      </c>
    </row>
    <row r="92" spans="1:16">
      <c r="A92" t="s">
        <v>121</v>
      </c>
      <c r="B92" t="s">
        <v>20</v>
      </c>
      <c r="C92">
        <v>1508.58</v>
      </c>
      <c r="D92">
        <v>1820.7</v>
      </c>
      <c r="E92">
        <v>0</v>
      </c>
      <c r="F92">
        <v>0</v>
      </c>
      <c r="I92" t="s">
        <v>121</v>
      </c>
      <c r="J92" t="s">
        <v>20</v>
      </c>
      <c r="L92" s="4">
        <f t="shared" si="5"/>
        <v>1540.26018</v>
      </c>
      <c r="M92" s="4">
        <f t="shared" si="7"/>
        <v>1858.9347</v>
      </c>
      <c r="N92" s="4">
        <f t="shared" si="8"/>
        <v>0</v>
      </c>
      <c r="O92" s="4">
        <f t="shared" si="9"/>
        <v>0</v>
      </c>
    </row>
    <row r="93" spans="1:16">
      <c r="A93" t="s">
        <v>122</v>
      </c>
      <c r="B93" t="s">
        <v>22</v>
      </c>
      <c r="C93">
        <v>1356.6</v>
      </c>
      <c r="D93">
        <v>0</v>
      </c>
      <c r="E93">
        <v>0</v>
      </c>
      <c r="F93">
        <v>0</v>
      </c>
      <c r="I93" t="s">
        <v>122</v>
      </c>
      <c r="J93" t="s">
        <v>22</v>
      </c>
      <c r="L93" s="4">
        <f t="shared" si="5"/>
        <v>1385.0885999999998</v>
      </c>
      <c r="M93" s="4">
        <f t="shared" si="7"/>
        <v>0</v>
      </c>
      <c r="N93" s="4">
        <f t="shared" si="8"/>
        <v>0</v>
      </c>
      <c r="O93" s="4">
        <f t="shared" si="9"/>
        <v>0</v>
      </c>
    </row>
    <row r="94" spans="1:16">
      <c r="A94" t="s">
        <v>123</v>
      </c>
      <c r="B94" t="s">
        <v>124</v>
      </c>
      <c r="C94">
        <v>1308.0999999999999</v>
      </c>
      <c r="D94">
        <v>0</v>
      </c>
      <c r="E94">
        <v>0</v>
      </c>
      <c r="F94">
        <v>0</v>
      </c>
      <c r="I94" t="s">
        <v>123</v>
      </c>
      <c r="J94" t="s">
        <v>124</v>
      </c>
      <c r="L94" s="4">
        <f t="shared" si="5"/>
        <v>1335.5700999999999</v>
      </c>
      <c r="M94" s="4">
        <f t="shared" si="7"/>
        <v>0</v>
      </c>
      <c r="N94" s="4">
        <f t="shared" si="8"/>
        <v>0</v>
      </c>
      <c r="O94" s="4">
        <f t="shared" si="9"/>
        <v>0</v>
      </c>
      <c r="P94">
        <f>1500*2%</f>
        <v>30</v>
      </c>
    </row>
    <row r="95" spans="1:16">
      <c r="A95" t="s">
        <v>126</v>
      </c>
      <c r="B95" t="s">
        <v>22</v>
      </c>
      <c r="C95">
        <v>1750</v>
      </c>
      <c r="D95">
        <v>2000</v>
      </c>
      <c r="E95">
        <v>0</v>
      </c>
      <c r="F95">
        <v>0</v>
      </c>
      <c r="I95" t="s">
        <v>126</v>
      </c>
      <c r="J95" t="s">
        <v>22</v>
      </c>
      <c r="L95" s="4">
        <f>+C95</f>
        <v>1750</v>
      </c>
      <c r="M95" s="4">
        <f>+D95</f>
        <v>2000</v>
      </c>
      <c r="N95" s="4">
        <f t="shared" si="8"/>
        <v>0</v>
      </c>
      <c r="O95" s="4">
        <f t="shared" si="9"/>
        <v>0</v>
      </c>
      <c r="P95" s="7" t="s">
        <v>125</v>
      </c>
    </row>
    <row r="96" spans="1:16">
      <c r="A96" t="s">
        <v>127</v>
      </c>
      <c r="B96" t="s">
        <v>22</v>
      </c>
      <c r="C96">
        <v>1450</v>
      </c>
      <c r="D96">
        <v>1750</v>
      </c>
      <c r="E96">
        <v>0</v>
      </c>
      <c r="F96">
        <v>0</v>
      </c>
      <c r="I96" t="s">
        <v>127</v>
      </c>
      <c r="J96" t="s">
        <v>22</v>
      </c>
      <c r="L96" s="4">
        <f>+(C96*$Q$2)+C96</f>
        <v>1480.45</v>
      </c>
      <c r="M96" s="4">
        <f>+(D96*$Q$2)+D96</f>
        <v>1786.75</v>
      </c>
      <c r="N96" s="4">
        <f t="shared" si="8"/>
        <v>0</v>
      </c>
      <c r="O96" s="4">
        <f t="shared" si="9"/>
        <v>0</v>
      </c>
    </row>
    <row r="97" spans="1:16">
      <c r="A97" t="s">
        <v>128</v>
      </c>
      <c r="B97" t="s">
        <v>20</v>
      </c>
      <c r="C97">
        <v>1380.06</v>
      </c>
      <c r="D97">
        <v>1494.3</v>
      </c>
      <c r="E97">
        <v>2081</v>
      </c>
      <c r="F97">
        <v>1821</v>
      </c>
      <c r="I97" t="s">
        <v>128</v>
      </c>
      <c r="J97" t="s">
        <v>20</v>
      </c>
      <c r="L97" s="4">
        <f>+(C97*$Q$2)+C97</f>
        <v>1409.04126</v>
      </c>
      <c r="M97" s="4">
        <f>+(D97*$Q$2)+D97</f>
        <v>1525.6803</v>
      </c>
      <c r="N97" s="4">
        <f>+(E97*$Q$2)+E97</f>
        <v>2124.701</v>
      </c>
      <c r="O97" s="4">
        <f>+(F97*$Q$2)+F97</f>
        <v>1859.241</v>
      </c>
    </row>
    <row r="98" spans="1:16">
      <c r="A98" t="s">
        <v>129</v>
      </c>
      <c r="B98" t="s">
        <v>27</v>
      </c>
      <c r="C98">
        <v>1222.884</v>
      </c>
      <c r="D98">
        <v>0</v>
      </c>
      <c r="E98">
        <v>0</v>
      </c>
      <c r="F98">
        <v>0</v>
      </c>
      <c r="I98" t="s">
        <v>129</v>
      </c>
      <c r="J98" t="s">
        <v>27</v>
      </c>
      <c r="L98" s="4">
        <f t="shared" ref="L98:L107" si="10">+(C98*$Q$2)+C98</f>
        <v>1248.564564</v>
      </c>
      <c r="M98" s="4">
        <f t="shared" si="7"/>
        <v>0</v>
      </c>
      <c r="N98" s="4">
        <f t="shared" si="8"/>
        <v>0</v>
      </c>
      <c r="O98" s="4">
        <f t="shared" si="9"/>
        <v>0</v>
      </c>
    </row>
    <row r="99" spans="1:16">
      <c r="A99" t="s">
        <v>130</v>
      </c>
      <c r="B99" t="s">
        <v>20</v>
      </c>
      <c r="C99">
        <v>1219.92</v>
      </c>
      <c r="D99">
        <v>1219.92</v>
      </c>
      <c r="I99" t="s">
        <v>130</v>
      </c>
      <c r="J99" t="s">
        <v>20</v>
      </c>
      <c r="L99" s="4">
        <f t="shared" si="10"/>
        <v>1245.5383200000001</v>
      </c>
      <c r="M99" s="4">
        <f>+(D99*$Q$2)+D99</f>
        <v>1245.5383200000001</v>
      </c>
      <c r="N99" s="4">
        <f t="shared" si="8"/>
        <v>0</v>
      </c>
      <c r="O99" s="4">
        <f t="shared" si="9"/>
        <v>0</v>
      </c>
    </row>
    <row r="100" spans="1:16">
      <c r="A100" t="s">
        <v>131</v>
      </c>
      <c r="B100" t="s">
        <v>20</v>
      </c>
      <c r="C100">
        <v>1450</v>
      </c>
      <c r="D100">
        <v>1750</v>
      </c>
      <c r="I100" t="s">
        <v>131</v>
      </c>
      <c r="J100" t="s">
        <v>20</v>
      </c>
      <c r="L100" s="4">
        <f t="shared" si="10"/>
        <v>1480.45</v>
      </c>
      <c r="M100" s="4">
        <f>+(D100*$Q$2)+D100</f>
        <v>1786.75</v>
      </c>
      <c r="N100" s="4">
        <f t="shared" si="8"/>
        <v>0</v>
      </c>
      <c r="O100" s="4">
        <f t="shared" si="9"/>
        <v>0</v>
      </c>
    </row>
    <row r="101" spans="1:16">
      <c r="A101" t="s">
        <v>132</v>
      </c>
      <c r="B101" t="s">
        <v>20</v>
      </c>
      <c r="C101">
        <v>1479</v>
      </c>
      <c r="D101">
        <v>1785</v>
      </c>
      <c r="I101" t="s">
        <v>132</v>
      </c>
      <c r="J101" t="s">
        <v>20</v>
      </c>
      <c r="L101" s="4">
        <f t="shared" si="10"/>
        <v>1510.059</v>
      </c>
      <c r="M101" s="4">
        <f>+(D101*$Q$2)+D101</f>
        <v>1822.4849999999999</v>
      </c>
      <c r="N101" s="4">
        <f t="shared" si="8"/>
        <v>0</v>
      </c>
      <c r="O101" s="4">
        <f t="shared" si="9"/>
        <v>0</v>
      </c>
    </row>
    <row r="102" spans="1:16">
      <c r="A102" t="s">
        <v>133</v>
      </c>
      <c r="B102" t="s">
        <v>20</v>
      </c>
      <c r="C102">
        <v>1479</v>
      </c>
      <c r="D102">
        <v>1785</v>
      </c>
      <c r="I102" t="s">
        <v>133</v>
      </c>
      <c r="J102" t="s">
        <v>20</v>
      </c>
      <c r="L102" s="4">
        <f t="shared" si="10"/>
        <v>1510.059</v>
      </c>
      <c r="M102" s="4">
        <f>+(D102*$Q$2)+D102</f>
        <v>1822.4849999999999</v>
      </c>
      <c r="N102" s="4">
        <f t="shared" si="8"/>
        <v>0</v>
      </c>
      <c r="O102" s="4">
        <f t="shared" si="9"/>
        <v>0</v>
      </c>
    </row>
    <row r="103" spans="1:16">
      <c r="A103" t="s">
        <v>134</v>
      </c>
      <c r="B103" t="s">
        <v>20</v>
      </c>
      <c r="C103">
        <v>1139.3399999999999</v>
      </c>
      <c r="D103">
        <v>1139.3399999999999</v>
      </c>
      <c r="E103">
        <v>0</v>
      </c>
      <c r="F103">
        <v>0</v>
      </c>
      <c r="I103" t="s">
        <v>134</v>
      </c>
      <c r="J103" t="s">
        <v>20</v>
      </c>
      <c r="L103" s="4">
        <f t="shared" si="10"/>
        <v>1163.26614</v>
      </c>
      <c r="M103" s="4">
        <f>+(D103*$Q$2)+D103</f>
        <v>1163.26614</v>
      </c>
      <c r="N103" s="4">
        <f t="shared" si="8"/>
        <v>0</v>
      </c>
      <c r="O103" s="4">
        <f t="shared" si="9"/>
        <v>0</v>
      </c>
    </row>
    <row r="104" spans="1:16">
      <c r="A104" t="s">
        <v>135</v>
      </c>
      <c r="B104" t="s">
        <v>27</v>
      </c>
      <c r="C104">
        <v>1375.98</v>
      </c>
      <c r="D104">
        <v>0</v>
      </c>
      <c r="E104">
        <v>0</v>
      </c>
      <c r="F104">
        <v>0</v>
      </c>
      <c r="I104" t="s">
        <v>135</v>
      </c>
      <c r="J104" t="s">
        <v>27</v>
      </c>
      <c r="L104" s="4">
        <f t="shared" si="10"/>
        <v>1404.8755800000001</v>
      </c>
      <c r="M104" s="4">
        <f t="shared" si="7"/>
        <v>0</v>
      </c>
      <c r="N104" s="4">
        <f t="shared" si="8"/>
        <v>0</v>
      </c>
      <c r="O104" s="4">
        <f t="shared" si="9"/>
        <v>0</v>
      </c>
    </row>
    <row r="105" spans="1:16">
      <c r="A105" t="s">
        <v>136</v>
      </c>
      <c r="B105" t="s">
        <v>20</v>
      </c>
      <c r="C105">
        <v>1479</v>
      </c>
      <c r="D105">
        <v>1785</v>
      </c>
      <c r="E105">
        <v>0</v>
      </c>
      <c r="F105">
        <v>0</v>
      </c>
      <c r="I105" t="s">
        <v>136</v>
      </c>
      <c r="J105" t="s">
        <v>20</v>
      </c>
      <c r="L105" s="4">
        <f t="shared" si="10"/>
        <v>1510.059</v>
      </c>
      <c r="M105" s="4">
        <f>+(D105*$Q$2)+D105</f>
        <v>1822.4849999999999</v>
      </c>
      <c r="N105" s="4">
        <f t="shared" si="8"/>
        <v>0</v>
      </c>
      <c r="O105" s="4">
        <f t="shared" si="9"/>
        <v>0</v>
      </c>
    </row>
    <row r="106" spans="1:16">
      <c r="A106" t="s">
        <v>138</v>
      </c>
      <c r="B106" t="s">
        <v>139</v>
      </c>
      <c r="C106">
        <v>1450</v>
      </c>
      <c r="D106">
        <v>1750</v>
      </c>
      <c r="E106">
        <v>2299.08</v>
      </c>
      <c r="F106">
        <v>2011.44</v>
      </c>
      <c r="I106" t="s">
        <v>138</v>
      </c>
      <c r="J106" t="s">
        <v>139</v>
      </c>
      <c r="L106" s="4">
        <f t="shared" si="10"/>
        <v>1480.45</v>
      </c>
      <c r="M106" s="4">
        <f>+(D106*$Q$2)+D106</f>
        <v>1786.75</v>
      </c>
      <c r="N106" s="4">
        <f>+(E106*$Q$2)+E106</f>
        <v>2347.3606799999998</v>
      </c>
      <c r="O106" s="4">
        <f>+(F106*$Q$2)+F106</f>
        <v>2053.6802400000001</v>
      </c>
      <c r="P106" t="s">
        <v>137</v>
      </c>
    </row>
    <row r="107" spans="1:16">
      <c r="A107" t="s">
        <v>140</v>
      </c>
      <c r="B107" t="s">
        <v>20</v>
      </c>
      <c r="C107">
        <v>1666.68</v>
      </c>
      <c r="D107">
        <v>2011.44</v>
      </c>
      <c r="E107">
        <v>2299.08</v>
      </c>
      <c r="F107">
        <v>2011.44</v>
      </c>
      <c r="I107" t="s">
        <v>140</v>
      </c>
      <c r="J107" t="s">
        <v>20</v>
      </c>
      <c r="L107" s="4">
        <f t="shared" si="10"/>
        <v>1701.68028</v>
      </c>
      <c r="M107" s="4">
        <f>+(D107*$Q$2)+D107</f>
        <v>2053.6802400000001</v>
      </c>
      <c r="N107" s="4">
        <f>+(E107*$Q$2)+E107</f>
        <v>2347.3606799999998</v>
      </c>
      <c r="O107" s="4">
        <f>+(F107*$Q$2)+F107</f>
        <v>2053.6802400000001</v>
      </c>
    </row>
    <row r="108" spans="1:16">
      <c r="L108" s="4"/>
      <c r="M108" s="4"/>
      <c r="N108" s="4"/>
      <c r="O108" s="4"/>
    </row>
    <row r="109" spans="1:16">
      <c r="A109" t="s">
        <v>204</v>
      </c>
      <c r="I109" t="s">
        <v>141</v>
      </c>
    </row>
    <row r="111" spans="1:16">
      <c r="A111" t="s">
        <v>8</v>
      </c>
      <c r="B111" t="s">
        <v>205</v>
      </c>
      <c r="I111" t="s">
        <v>8</v>
      </c>
      <c r="J111" t="s">
        <v>142</v>
      </c>
      <c r="K111" s="2">
        <v>2.3E-2</v>
      </c>
    </row>
    <row r="112" spans="1:16">
      <c r="A112" t="s">
        <v>11</v>
      </c>
      <c r="B112" t="s">
        <v>2</v>
      </c>
      <c r="C112" t="s">
        <v>3</v>
      </c>
      <c r="I112" t="s">
        <v>11</v>
      </c>
      <c r="J112" t="s">
        <v>2</v>
      </c>
      <c r="K112" t="s">
        <v>3</v>
      </c>
    </row>
    <row r="113" spans="1:16">
      <c r="A113" t="s">
        <v>143</v>
      </c>
      <c r="B113">
        <v>1255.8634615384615</v>
      </c>
      <c r="I113" t="s">
        <v>143</v>
      </c>
      <c r="J113" s="4">
        <f>+(B113*$K$111)+B113</f>
        <v>1284.7483211538461</v>
      </c>
    </row>
    <row r="114" spans="1:16">
      <c r="A114" t="s">
        <v>26</v>
      </c>
      <c r="B114">
        <v>1268.0231729999998</v>
      </c>
      <c r="I114" t="s">
        <v>26</v>
      </c>
      <c r="J114" s="4">
        <f t="shared" ref="J114:J136" si="11">+(B114*$K$111)+B114</f>
        <v>1297.1877059789997</v>
      </c>
    </row>
    <row r="115" spans="1:16">
      <c r="A115" t="s">
        <v>144</v>
      </c>
      <c r="B115">
        <v>1254.7223999999999</v>
      </c>
      <c r="I115" t="s">
        <v>144</v>
      </c>
      <c r="J115" s="4">
        <f t="shared" si="11"/>
        <v>1283.5810151999999</v>
      </c>
    </row>
    <row r="116" spans="1:16">
      <c r="A116" t="s">
        <v>147</v>
      </c>
      <c r="B116">
        <v>1176.5457692307691</v>
      </c>
      <c r="I116" t="s">
        <v>147</v>
      </c>
      <c r="J116" s="4">
        <f t="shared" si="11"/>
        <v>1203.6063219230768</v>
      </c>
    </row>
    <row r="117" spans="1:16">
      <c r="A117" t="s">
        <v>150</v>
      </c>
      <c r="B117">
        <v>1304.58</v>
      </c>
      <c r="I117" t="s">
        <v>150</v>
      </c>
      <c r="J117" s="4">
        <f t="shared" si="11"/>
        <v>1334.5853399999999</v>
      </c>
      <c r="P117" t="s">
        <v>109</v>
      </c>
    </row>
    <row r="118" spans="1:16">
      <c r="A118" t="s">
        <v>150</v>
      </c>
      <c r="B118">
        <v>1192.3800000000001</v>
      </c>
      <c r="I118" t="s">
        <v>150</v>
      </c>
      <c r="J118" s="4">
        <f t="shared" si="11"/>
        <v>1219.80474</v>
      </c>
      <c r="P118" t="s">
        <v>154</v>
      </c>
    </row>
    <row r="119" spans="1:16">
      <c r="A119" t="s">
        <v>155</v>
      </c>
      <c r="B119">
        <v>1268.0661834319526</v>
      </c>
      <c r="I119" t="s">
        <v>155</v>
      </c>
      <c r="J119" s="4">
        <f t="shared" si="11"/>
        <v>1297.2317056508875</v>
      </c>
    </row>
    <row r="120" spans="1:16">
      <c r="A120" t="s">
        <v>41</v>
      </c>
      <c r="B120">
        <v>1286</v>
      </c>
      <c r="I120" t="s">
        <v>41</v>
      </c>
      <c r="J120" s="4">
        <f t="shared" si="11"/>
        <v>1315.578</v>
      </c>
    </row>
    <row r="121" spans="1:16">
      <c r="A121" t="s">
        <v>43</v>
      </c>
      <c r="B121">
        <v>1281</v>
      </c>
      <c r="I121" t="s">
        <v>43</v>
      </c>
      <c r="J121" s="4">
        <f t="shared" si="11"/>
        <v>1310.463</v>
      </c>
    </row>
    <row r="122" spans="1:16">
      <c r="A122" t="s">
        <v>160</v>
      </c>
      <c r="B122">
        <v>1177.5626627218935</v>
      </c>
      <c r="I122" t="s">
        <v>160</v>
      </c>
      <c r="J122" s="4">
        <f t="shared" si="11"/>
        <v>1204.646603964497</v>
      </c>
    </row>
    <row r="123" spans="1:16">
      <c r="A123" t="s">
        <v>57</v>
      </c>
      <c r="B123">
        <v>1313.7980591715977</v>
      </c>
      <c r="I123" t="s">
        <v>57</v>
      </c>
      <c r="J123" s="4">
        <f t="shared" si="11"/>
        <v>1344.0154145325446</v>
      </c>
    </row>
    <row r="124" spans="1:16">
      <c r="A124" t="s">
        <v>164</v>
      </c>
      <c r="B124">
        <v>1302.6405621301776</v>
      </c>
      <c r="I124" t="s">
        <v>164</v>
      </c>
      <c r="J124" s="4">
        <f t="shared" si="11"/>
        <v>1332.6012950591717</v>
      </c>
    </row>
    <row r="125" spans="1:16">
      <c r="A125" t="s">
        <v>70</v>
      </c>
      <c r="B125">
        <v>1261.74</v>
      </c>
      <c r="I125" t="s">
        <v>70</v>
      </c>
      <c r="J125" s="4">
        <f t="shared" si="11"/>
        <v>1290.7600199999999</v>
      </c>
    </row>
    <row r="126" spans="1:16">
      <c r="A126" t="s">
        <v>75</v>
      </c>
      <c r="B126">
        <v>1220.2721893491123</v>
      </c>
      <c r="I126" t="s">
        <v>75</v>
      </c>
      <c r="J126" s="4">
        <f t="shared" si="11"/>
        <v>1248.3384497041418</v>
      </c>
    </row>
    <row r="127" spans="1:16">
      <c r="A127" t="s">
        <v>96</v>
      </c>
      <c r="B127">
        <v>1238.3208</v>
      </c>
      <c r="I127" t="s">
        <v>96</v>
      </c>
      <c r="J127" s="4">
        <f t="shared" si="11"/>
        <v>1266.8021784</v>
      </c>
    </row>
    <row r="128" spans="1:16">
      <c r="A128" t="s">
        <v>95</v>
      </c>
      <c r="B128">
        <v>1238.3208</v>
      </c>
      <c r="I128" t="s">
        <v>95</v>
      </c>
      <c r="J128" s="4">
        <f t="shared" si="11"/>
        <v>1266.8021784</v>
      </c>
    </row>
    <row r="129" spans="1:16">
      <c r="A129" t="s">
        <v>171</v>
      </c>
      <c r="B129">
        <v>1215.8399999999999</v>
      </c>
      <c r="I129" t="s">
        <v>171</v>
      </c>
      <c r="J129" s="4">
        <f t="shared" si="11"/>
        <v>1243.80432</v>
      </c>
    </row>
    <row r="130" spans="1:16">
      <c r="A130" t="s">
        <v>173</v>
      </c>
      <c r="B130">
        <v>1271.1168639053253</v>
      </c>
      <c r="I130" t="s">
        <v>173</v>
      </c>
      <c r="J130" s="4">
        <f t="shared" si="11"/>
        <v>1300.3525517751477</v>
      </c>
    </row>
    <row r="131" spans="1:16">
      <c r="A131" t="s">
        <v>175</v>
      </c>
      <c r="B131">
        <v>1133.8362426035501</v>
      </c>
      <c r="I131" t="s">
        <v>175</v>
      </c>
      <c r="J131" s="4">
        <f t="shared" si="11"/>
        <v>1159.9144761834318</v>
      </c>
      <c r="P131" t="s">
        <v>177</v>
      </c>
    </row>
    <row r="132" spans="1:16">
      <c r="A132" t="s">
        <v>101</v>
      </c>
      <c r="B132">
        <v>1276.2013313609466</v>
      </c>
      <c r="I132" t="s">
        <v>101</v>
      </c>
      <c r="J132" s="4">
        <f t="shared" si="11"/>
        <v>1305.5539619822484</v>
      </c>
    </row>
    <row r="133" spans="1:16">
      <c r="A133" t="s">
        <v>179</v>
      </c>
      <c r="B133">
        <v>1229.3825309999997</v>
      </c>
      <c r="I133" t="s">
        <v>179</v>
      </c>
      <c r="J133" s="4">
        <f t="shared" si="11"/>
        <v>1257.6583292129997</v>
      </c>
      <c r="P133" t="s">
        <v>181</v>
      </c>
    </row>
    <row r="134" spans="1:16">
      <c r="A134" t="s">
        <v>182</v>
      </c>
      <c r="B134">
        <v>1302.9020999999998</v>
      </c>
      <c r="I134" t="s">
        <v>182</v>
      </c>
      <c r="J134" s="4">
        <f t="shared" si="11"/>
        <v>1332.8688482999999</v>
      </c>
    </row>
    <row r="135" spans="1:16">
      <c r="A135" t="s">
        <v>184</v>
      </c>
      <c r="B135">
        <v>1276.2013313609466</v>
      </c>
      <c r="I135" t="s">
        <v>184</v>
      </c>
      <c r="J135" s="4">
        <f t="shared" si="11"/>
        <v>1305.5539619822484</v>
      </c>
    </row>
    <row r="136" spans="1:16">
      <c r="A136" t="s">
        <v>134</v>
      </c>
      <c r="B136">
        <v>1116.5549999999998</v>
      </c>
      <c r="I136" t="s">
        <v>134</v>
      </c>
      <c r="J136" s="4">
        <f t="shared" si="11"/>
        <v>1142.2357649999999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A365E-8348-4D59-AC6A-3EA0865406B7}">
  <dimension ref="A1:V136"/>
  <sheetViews>
    <sheetView workbookViewId="0">
      <pane ySplit="6" topLeftCell="A104" activePane="bottomLeft" state="frozen"/>
      <selection pane="bottomLeft" activeCell="G84" sqref="G84"/>
    </sheetView>
  </sheetViews>
  <sheetFormatPr defaultRowHeight="14.45"/>
  <cols>
    <col min="1" max="1" width="40.42578125" style="1" bestFit="1" customWidth="1"/>
    <col min="2" max="2" width="21.42578125" customWidth="1"/>
    <col min="3" max="3" width="17.85546875" customWidth="1"/>
    <col min="4" max="4" width="16.5703125" bestFit="1" customWidth="1"/>
    <col min="5" max="5" width="24" bestFit="1" customWidth="1"/>
    <col min="6" max="6" width="17.7109375" bestFit="1" customWidth="1"/>
    <col min="7" max="7" width="15.85546875" customWidth="1"/>
    <col min="8" max="8" width="34.42578125" bestFit="1" customWidth="1"/>
    <col min="9" max="16" width="34.42578125" customWidth="1"/>
    <col min="17" max="17" width="36.5703125" bestFit="1" customWidth="1"/>
    <col min="18" max="18" width="16.140625" bestFit="1" customWidth="1"/>
  </cols>
  <sheetData>
    <row r="1" spans="1:22" ht="21">
      <c r="A1" s="56" t="s">
        <v>0</v>
      </c>
      <c r="B1" s="12"/>
      <c r="C1" s="13"/>
      <c r="I1" s="56" t="s">
        <v>206</v>
      </c>
      <c r="J1" s="12"/>
      <c r="K1" s="13"/>
      <c r="S1" s="2">
        <v>2.1000000000000001E-2</v>
      </c>
    </row>
    <row r="2" spans="1:22" ht="14.45" customHeight="1" thickBot="1">
      <c r="A2" s="56"/>
      <c r="B2" s="5" t="s">
        <v>1</v>
      </c>
      <c r="C2" s="5" t="s">
        <v>2</v>
      </c>
      <c r="D2" s="5" t="s">
        <v>3</v>
      </c>
      <c r="E2" s="5" t="s">
        <v>4</v>
      </c>
      <c r="F2" s="5" t="s">
        <v>6</v>
      </c>
      <c r="G2" s="5"/>
      <c r="I2" s="56"/>
      <c r="J2" s="5" t="s">
        <v>1</v>
      </c>
      <c r="K2" s="5" t="s">
        <v>2</v>
      </c>
      <c r="L2" s="5" t="s">
        <v>3</v>
      </c>
      <c r="M2" s="5" t="s">
        <v>4</v>
      </c>
      <c r="N2" s="5" t="s">
        <v>6</v>
      </c>
      <c r="O2" s="5"/>
    </row>
    <row r="3" spans="1:22" ht="14.45" customHeight="1" thickBot="1">
      <c r="A3" s="12" t="s">
        <v>7</v>
      </c>
      <c r="B3" s="62">
        <v>1500</v>
      </c>
      <c r="C3" s="61">
        <v>1750</v>
      </c>
      <c r="D3" s="60">
        <v>2000</v>
      </c>
      <c r="E3" s="59">
        <v>2250</v>
      </c>
      <c r="F3" s="58">
        <v>1400</v>
      </c>
      <c r="G3" s="57"/>
      <c r="I3" s="12" t="s">
        <v>7</v>
      </c>
      <c r="J3" s="62">
        <f>+(1500*2.1%)+1500</f>
        <v>1531.5</v>
      </c>
      <c r="K3" s="61">
        <f>+(1750*AA1)+1750</f>
        <v>1750</v>
      </c>
      <c r="L3" s="60">
        <f>+(2000*AA1)+2000</f>
        <v>2000</v>
      </c>
      <c r="M3" s="59">
        <f>+(2250*AA1)+2250</f>
        <v>2250</v>
      </c>
      <c r="N3" s="58">
        <f>+(1400*AA1)+1400</f>
        <v>1400</v>
      </c>
      <c r="O3" s="57"/>
      <c r="Q3" t="s">
        <v>207</v>
      </c>
    </row>
    <row r="4" spans="1:22" ht="13.5" customHeight="1">
      <c r="A4" s="56"/>
      <c r="I4" s="56"/>
    </row>
    <row r="5" spans="1:22">
      <c r="A5" s="12" t="s">
        <v>8</v>
      </c>
      <c r="B5" s="13"/>
      <c r="C5" s="13" t="s">
        <v>2</v>
      </c>
      <c r="D5" s="13" t="s">
        <v>3</v>
      </c>
      <c r="E5" s="13" t="s">
        <v>197</v>
      </c>
      <c r="F5" s="13" t="s">
        <v>9</v>
      </c>
      <c r="G5" s="13" t="s">
        <v>10</v>
      </c>
      <c r="I5" s="12" t="s">
        <v>8</v>
      </c>
      <c r="J5" s="13"/>
      <c r="K5" s="13" t="s">
        <v>2</v>
      </c>
      <c r="L5" s="13" t="s">
        <v>3</v>
      </c>
      <c r="M5" s="13" t="s">
        <v>197</v>
      </c>
      <c r="N5" s="13" t="s">
        <v>9</v>
      </c>
      <c r="O5" s="13" t="s">
        <v>10</v>
      </c>
    </row>
    <row r="6" spans="1:22">
      <c r="A6" s="55" t="s">
        <v>19</v>
      </c>
      <c r="B6" s="54" t="s">
        <v>20</v>
      </c>
      <c r="C6" s="53" t="s">
        <v>198</v>
      </c>
      <c r="D6" s="53" t="s">
        <v>199</v>
      </c>
      <c r="E6" s="52" t="s">
        <v>11</v>
      </c>
      <c r="F6" s="52" t="s">
        <v>12</v>
      </c>
      <c r="G6" s="51" t="s">
        <v>13</v>
      </c>
      <c r="I6" s="55" t="s">
        <v>19</v>
      </c>
      <c r="J6" s="54" t="s">
        <v>20</v>
      </c>
      <c r="K6" s="53" t="s">
        <v>14</v>
      </c>
      <c r="L6" s="53" t="s">
        <v>199</v>
      </c>
      <c r="M6" s="52" t="s">
        <v>11</v>
      </c>
      <c r="N6" s="52" t="s">
        <v>12</v>
      </c>
      <c r="O6" s="51" t="s">
        <v>13</v>
      </c>
    </row>
    <row r="7" spans="1:22">
      <c r="A7" s="37" t="s">
        <v>21</v>
      </c>
      <c r="B7" s="41" t="s">
        <v>22</v>
      </c>
      <c r="C7" s="16">
        <v>1479</v>
      </c>
      <c r="D7" s="16">
        <v>1785</v>
      </c>
      <c r="E7" s="16">
        <v>0</v>
      </c>
      <c r="F7" s="16">
        <v>0</v>
      </c>
      <c r="G7" s="4"/>
      <c r="I7" s="37" t="s">
        <v>21</v>
      </c>
      <c r="J7" s="41" t="s">
        <v>22</v>
      </c>
      <c r="K7" s="16">
        <v>1479</v>
      </c>
      <c r="L7" s="16">
        <v>1785</v>
      </c>
      <c r="M7" s="16">
        <v>0</v>
      </c>
      <c r="N7" s="16">
        <v>0</v>
      </c>
      <c r="O7" s="4"/>
    </row>
    <row r="8" spans="1:22">
      <c r="A8" s="37" t="s">
        <v>23</v>
      </c>
      <c r="B8" s="41" t="s">
        <v>20</v>
      </c>
      <c r="C8" s="16">
        <v>1450</v>
      </c>
      <c r="D8" s="16">
        <v>1750</v>
      </c>
      <c r="E8" s="16">
        <v>1750</v>
      </c>
      <c r="F8" s="16">
        <v>2000</v>
      </c>
      <c r="G8" s="4"/>
      <c r="I8" s="37" t="s">
        <v>23</v>
      </c>
      <c r="J8" s="41" t="s">
        <v>20</v>
      </c>
      <c r="K8" s="16">
        <v>1450</v>
      </c>
      <c r="L8" s="16">
        <v>1750</v>
      </c>
      <c r="M8" s="16">
        <v>1750</v>
      </c>
      <c r="N8" s="16">
        <v>2000</v>
      </c>
      <c r="O8" s="4"/>
    </row>
    <row r="9" spans="1:22">
      <c r="A9" s="37" t="s">
        <v>24</v>
      </c>
      <c r="B9" s="41" t="s">
        <v>20</v>
      </c>
      <c r="C9" s="16">
        <v>1173</v>
      </c>
      <c r="D9" s="16">
        <v>1326</v>
      </c>
      <c r="E9" s="16">
        <v>1479</v>
      </c>
      <c r="F9" s="16">
        <v>1326</v>
      </c>
      <c r="G9" s="4"/>
      <c r="I9" s="37" t="s">
        <v>24</v>
      </c>
      <c r="J9" s="41" t="s">
        <v>20</v>
      </c>
      <c r="K9" s="16">
        <v>1173</v>
      </c>
      <c r="L9" s="16">
        <v>1326</v>
      </c>
      <c r="M9" s="16">
        <v>1479</v>
      </c>
      <c r="N9" s="16">
        <v>1326</v>
      </c>
      <c r="O9" s="4"/>
    </row>
    <row r="10" spans="1:22">
      <c r="A10" s="37" t="s">
        <v>25</v>
      </c>
      <c r="B10" s="41" t="s">
        <v>20</v>
      </c>
      <c r="C10" s="16">
        <v>1352.52</v>
      </c>
      <c r="D10" s="16">
        <v>1634.04</v>
      </c>
      <c r="E10" s="16">
        <v>1972.68</v>
      </c>
      <c r="F10" s="16">
        <v>1634.04</v>
      </c>
      <c r="G10" s="4"/>
      <c r="I10" s="37" t="s">
        <v>25</v>
      </c>
      <c r="J10" s="41" t="s">
        <v>20</v>
      </c>
      <c r="K10" s="16">
        <v>1352.52</v>
      </c>
      <c r="L10" s="16">
        <v>1634.04</v>
      </c>
      <c r="M10" s="16">
        <v>1972.68</v>
      </c>
      <c r="N10" s="16">
        <v>1634.04</v>
      </c>
      <c r="O10" s="4"/>
    </row>
    <row r="11" spans="1:22">
      <c r="A11" s="37" t="s">
        <v>26</v>
      </c>
      <c r="B11" s="41" t="s">
        <v>27</v>
      </c>
      <c r="C11" s="16">
        <v>1297.44</v>
      </c>
      <c r="D11" s="16">
        <v>1297.44</v>
      </c>
      <c r="E11" s="16">
        <v>1297.44</v>
      </c>
      <c r="F11" s="16">
        <v>1297.44</v>
      </c>
      <c r="G11" s="4"/>
      <c r="I11" s="37" t="s">
        <v>26</v>
      </c>
      <c r="J11" s="41" t="s">
        <v>27</v>
      </c>
      <c r="K11" s="16">
        <v>1297.44</v>
      </c>
      <c r="L11" s="16">
        <v>1297.44</v>
      </c>
      <c r="M11" s="16">
        <v>1297.44</v>
      </c>
      <c r="N11" s="16">
        <v>1297.44</v>
      </c>
      <c r="O11" s="4"/>
      <c r="V11">
        <f>120-118.1</f>
        <v>1.9000000000000057</v>
      </c>
    </row>
    <row r="12" spans="1:22">
      <c r="A12" s="50" t="s">
        <v>28</v>
      </c>
      <c r="B12" s="41" t="s">
        <v>20</v>
      </c>
      <c r="C12" s="16">
        <v>1479</v>
      </c>
      <c r="D12" s="16">
        <v>1785</v>
      </c>
      <c r="E12" s="16">
        <v>0</v>
      </c>
      <c r="F12" s="16">
        <v>0</v>
      </c>
      <c r="G12" s="4"/>
      <c r="I12" s="50" t="s">
        <v>28</v>
      </c>
      <c r="J12" s="41" t="s">
        <v>20</v>
      </c>
      <c r="K12" s="16">
        <v>1479</v>
      </c>
      <c r="L12" s="16">
        <v>1785</v>
      </c>
      <c r="M12" s="16">
        <v>0</v>
      </c>
      <c r="N12" s="16">
        <v>0</v>
      </c>
      <c r="O12" s="4"/>
      <c r="V12" s="49">
        <f>+V11/118.1</f>
        <v>1.6088060965283708E-2</v>
      </c>
    </row>
    <row r="13" spans="1:22">
      <c r="A13" s="37" t="s">
        <v>29</v>
      </c>
      <c r="B13" s="41" t="s">
        <v>20</v>
      </c>
      <c r="C13" s="16">
        <v>1422.9</v>
      </c>
      <c r="D13" s="16">
        <v>1719.72</v>
      </c>
      <c r="E13" s="16">
        <v>2076.7199999999998</v>
      </c>
      <c r="F13" s="16">
        <v>0</v>
      </c>
      <c r="G13" s="4"/>
      <c r="I13" s="37" t="s">
        <v>29</v>
      </c>
      <c r="J13" s="41" t="s">
        <v>20</v>
      </c>
      <c r="K13" s="16">
        <v>1422.9</v>
      </c>
      <c r="L13" s="16">
        <v>1719.72</v>
      </c>
      <c r="M13" s="16">
        <v>2076.7199999999998</v>
      </c>
      <c r="N13" s="16">
        <v>0</v>
      </c>
      <c r="O13" s="4"/>
    </row>
    <row r="14" spans="1:22">
      <c r="A14" s="37" t="s">
        <v>30</v>
      </c>
      <c r="B14" s="41" t="s">
        <v>20</v>
      </c>
      <c r="C14" s="16">
        <v>1428</v>
      </c>
      <c r="D14" s="16">
        <v>1785</v>
      </c>
      <c r="E14" s="16">
        <v>2040</v>
      </c>
      <c r="F14" s="16">
        <v>1785</v>
      </c>
      <c r="G14" s="4"/>
      <c r="I14" s="37" t="s">
        <v>30</v>
      </c>
      <c r="J14" s="41" t="s">
        <v>20</v>
      </c>
      <c r="K14" s="16">
        <v>1428</v>
      </c>
      <c r="L14" s="16">
        <v>1785</v>
      </c>
      <c r="M14" s="16">
        <v>2040</v>
      </c>
      <c r="N14" s="16">
        <v>1785</v>
      </c>
      <c r="O14" s="4"/>
    </row>
    <row r="15" spans="1:22">
      <c r="A15" s="37" t="s">
        <v>31</v>
      </c>
      <c r="B15" s="41" t="s">
        <v>20</v>
      </c>
      <c r="C15" s="16">
        <f>1230*2%+1230</f>
        <v>1254.5999999999999</v>
      </c>
      <c r="D15" s="16"/>
      <c r="E15" s="16"/>
      <c r="F15" s="48"/>
      <c r="G15" s="4"/>
      <c r="I15" s="37" t="s">
        <v>31</v>
      </c>
      <c r="J15" s="41" t="s">
        <v>20</v>
      </c>
      <c r="K15" s="16">
        <f>1230*2%+1230</f>
        <v>1254.5999999999999</v>
      </c>
      <c r="L15" s="16"/>
      <c r="M15" s="16"/>
      <c r="N15" s="48"/>
      <c r="O15" s="4"/>
    </row>
    <row r="16" spans="1:22">
      <c r="A16" s="37" t="s">
        <v>34</v>
      </c>
      <c r="B16" s="41" t="s">
        <v>22</v>
      </c>
      <c r="C16" s="16">
        <v>1450</v>
      </c>
      <c r="D16" s="16">
        <v>1750</v>
      </c>
      <c r="E16" s="16"/>
      <c r="F16" s="16"/>
      <c r="G16" s="4"/>
      <c r="H16" t="s">
        <v>32</v>
      </c>
      <c r="I16" s="37" t="s">
        <v>34</v>
      </c>
      <c r="J16" s="41" t="s">
        <v>22</v>
      </c>
      <c r="K16" s="16">
        <v>1450</v>
      </c>
      <c r="L16" s="16">
        <v>1750</v>
      </c>
      <c r="M16" s="16"/>
      <c r="N16" s="16"/>
      <c r="O16" s="4"/>
    </row>
    <row r="17" spans="1:15">
      <c r="A17" s="37" t="s">
        <v>36</v>
      </c>
      <c r="B17" s="41" t="s">
        <v>20</v>
      </c>
      <c r="C17" s="16">
        <v>1470.3</v>
      </c>
      <c r="D17" s="16">
        <v>1774.5</v>
      </c>
      <c r="E17" s="16">
        <v>0</v>
      </c>
      <c r="F17" s="16">
        <v>0</v>
      </c>
      <c r="G17" s="4"/>
      <c r="H17" t="s">
        <v>35</v>
      </c>
      <c r="I17" s="37" t="s">
        <v>36</v>
      </c>
      <c r="J17" s="41" t="s">
        <v>20</v>
      </c>
      <c r="K17" s="16">
        <v>1470.3</v>
      </c>
      <c r="L17" s="16">
        <v>1774.5</v>
      </c>
      <c r="M17" s="16">
        <v>0</v>
      </c>
      <c r="N17" s="16">
        <v>0</v>
      </c>
      <c r="O17" s="4"/>
    </row>
    <row r="18" spans="1:15">
      <c r="A18" s="37" t="s">
        <v>37</v>
      </c>
      <c r="B18" s="41" t="s">
        <v>22</v>
      </c>
      <c r="C18" s="16">
        <f>1450*2%+1450</f>
        <v>1479</v>
      </c>
      <c r="D18" s="16">
        <f>1750*2%+1750</f>
        <v>1785</v>
      </c>
      <c r="E18" s="16"/>
      <c r="F18" s="16"/>
      <c r="G18" s="4"/>
      <c r="I18" s="37" t="s">
        <v>37</v>
      </c>
      <c r="J18" s="41" t="s">
        <v>22</v>
      </c>
      <c r="K18" s="16">
        <f>1450*2%+1450</f>
        <v>1479</v>
      </c>
      <c r="L18" s="16">
        <f>1750*2%+1750</f>
        <v>1785</v>
      </c>
      <c r="M18" s="16"/>
      <c r="N18" s="16"/>
      <c r="O18" s="4"/>
    </row>
    <row r="19" spans="1:15">
      <c r="A19" s="37" t="s">
        <v>38</v>
      </c>
      <c r="B19" s="41" t="s">
        <v>27</v>
      </c>
      <c r="C19" s="16">
        <v>1304.58</v>
      </c>
      <c r="D19" s="16">
        <v>0</v>
      </c>
      <c r="E19" s="16">
        <v>0</v>
      </c>
      <c r="F19" s="16">
        <v>0</v>
      </c>
      <c r="G19" s="4"/>
      <c r="I19" s="37" t="s">
        <v>38</v>
      </c>
      <c r="J19" s="41" t="s">
        <v>27</v>
      </c>
      <c r="K19" s="16">
        <v>1304.58</v>
      </c>
      <c r="L19" s="16">
        <v>0</v>
      </c>
      <c r="M19" s="16">
        <v>0</v>
      </c>
      <c r="N19" s="16">
        <v>0</v>
      </c>
      <c r="O19" s="4"/>
    </row>
    <row r="20" spans="1:15">
      <c r="A20" s="37" t="s">
        <v>39</v>
      </c>
      <c r="B20" s="41" t="s">
        <v>20</v>
      </c>
      <c r="C20" s="16">
        <v>1450</v>
      </c>
      <c r="D20" s="16">
        <v>1750</v>
      </c>
      <c r="E20" s="16"/>
      <c r="F20" s="16"/>
      <c r="G20" s="4"/>
      <c r="I20" s="37" t="s">
        <v>39</v>
      </c>
      <c r="J20" s="41" t="s">
        <v>20</v>
      </c>
      <c r="K20" s="16">
        <v>1450</v>
      </c>
      <c r="L20" s="16">
        <v>1750</v>
      </c>
      <c r="M20" s="16"/>
      <c r="N20" s="16"/>
      <c r="O20" s="4"/>
    </row>
    <row r="21" spans="1:15">
      <c r="A21" s="37" t="s">
        <v>40</v>
      </c>
      <c r="B21" s="41">
        <v>1500</v>
      </c>
      <c r="C21" s="16">
        <v>1750</v>
      </c>
      <c r="D21" s="16">
        <v>2000</v>
      </c>
      <c r="E21" s="16">
        <v>2250</v>
      </c>
      <c r="F21" s="16"/>
      <c r="G21" s="4"/>
      <c r="I21" s="37" t="s">
        <v>40</v>
      </c>
      <c r="J21" s="41">
        <v>1500</v>
      </c>
      <c r="K21" s="16">
        <v>1750</v>
      </c>
      <c r="L21" s="16">
        <v>2000</v>
      </c>
      <c r="M21" s="16">
        <v>2250</v>
      </c>
      <c r="N21" s="16"/>
      <c r="O21" s="4"/>
    </row>
    <row r="22" spans="1:15">
      <c r="A22" s="37" t="s">
        <v>41</v>
      </c>
      <c r="B22" s="41" t="s">
        <v>20</v>
      </c>
      <c r="C22" s="16">
        <f>1261*2%+1261</f>
        <v>1286.22</v>
      </c>
      <c r="D22" s="16">
        <f>1261*2%+1261</f>
        <v>1286.22</v>
      </c>
      <c r="E22" s="16"/>
      <c r="F22" s="16"/>
      <c r="G22" s="4"/>
      <c r="I22" s="37" t="s">
        <v>41</v>
      </c>
      <c r="J22" s="41" t="s">
        <v>20</v>
      </c>
      <c r="K22" s="16">
        <f>1261*2%+1261</f>
        <v>1286.22</v>
      </c>
      <c r="L22" s="16">
        <f>1261*2%+1261</f>
        <v>1286.22</v>
      </c>
      <c r="M22" s="16"/>
      <c r="N22" s="16"/>
      <c r="O22" s="4"/>
    </row>
    <row r="23" spans="1:15">
      <c r="A23" s="37" t="s">
        <v>42</v>
      </c>
      <c r="B23" s="41" t="s">
        <v>27</v>
      </c>
      <c r="C23" s="16">
        <v>1228.08</v>
      </c>
      <c r="D23" s="16">
        <v>0</v>
      </c>
      <c r="E23" s="16">
        <v>0</v>
      </c>
      <c r="F23" s="16">
        <v>0</v>
      </c>
      <c r="G23" s="4"/>
      <c r="I23" s="37" t="s">
        <v>42</v>
      </c>
      <c r="J23" s="41" t="s">
        <v>27</v>
      </c>
      <c r="K23" s="16">
        <v>1228.08</v>
      </c>
      <c r="L23" s="16">
        <v>0</v>
      </c>
      <c r="M23" s="16">
        <v>0</v>
      </c>
      <c r="N23" s="16">
        <v>0</v>
      </c>
      <c r="O23" s="4"/>
    </row>
    <row r="24" spans="1:15">
      <c r="A24" s="37" t="s">
        <v>43</v>
      </c>
      <c r="B24" s="41" t="s">
        <v>27</v>
      </c>
      <c r="C24" s="16">
        <v>1281</v>
      </c>
      <c r="D24" s="16">
        <v>0</v>
      </c>
      <c r="E24" s="16">
        <v>0</v>
      </c>
      <c r="F24" s="16">
        <v>0</v>
      </c>
      <c r="G24" s="4"/>
      <c r="I24" s="37" t="s">
        <v>43</v>
      </c>
      <c r="J24" s="41" t="s">
        <v>27</v>
      </c>
      <c r="K24" s="16">
        <v>1281</v>
      </c>
      <c r="L24" s="16">
        <v>0</v>
      </c>
      <c r="M24" s="16">
        <v>0</v>
      </c>
      <c r="N24" s="16">
        <v>0</v>
      </c>
      <c r="O24" s="4"/>
    </row>
    <row r="25" spans="1:15">
      <c r="A25" s="37" t="s">
        <v>44</v>
      </c>
      <c r="B25" s="41" t="s">
        <v>20</v>
      </c>
      <c r="C25" s="16">
        <v>1380.06</v>
      </c>
      <c r="D25" s="16">
        <v>1666.68</v>
      </c>
      <c r="E25" s="16">
        <v>2011.44</v>
      </c>
      <c r="F25" s="16">
        <v>1666.68</v>
      </c>
      <c r="G25" s="4"/>
      <c r="I25" s="37" t="s">
        <v>44</v>
      </c>
      <c r="J25" s="41" t="s">
        <v>20</v>
      </c>
      <c r="K25" s="16">
        <v>1380.06</v>
      </c>
      <c r="L25" s="16">
        <v>1666.68</v>
      </c>
      <c r="M25" s="16">
        <v>2011.44</v>
      </c>
      <c r="N25" s="16">
        <v>1666.68</v>
      </c>
      <c r="O25" s="4"/>
    </row>
    <row r="26" spans="1:15">
      <c r="A26" s="37" t="s">
        <v>45</v>
      </c>
      <c r="B26" s="41" t="s">
        <v>20</v>
      </c>
      <c r="C26" s="16">
        <v>1450</v>
      </c>
      <c r="D26" s="16">
        <v>1750</v>
      </c>
      <c r="E26" s="16"/>
      <c r="F26" s="16"/>
      <c r="G26" s="4"/>
      <c r="I26" s="37" t="s">
        <v>45</v>
      </c>
      <c r="J26" s="41" t="s">
        <v>20</v>
      </c>
      <c r="K26" s="16">
        <v>1450</v>
      </c>
      <c r="L26" s="16">
        <v>1750</v>
      </c>
      <c r="M26" s="16"/>
      <c r="N26" s="16"/>
      <c r="O26" s="4"/>
    </row>
    <row r="27" spans="1:15">
      <c r="A27" s="37" t="s">
        <v>46</v>
      </c>
      <c r="B27" s="41" t="s">
        <v>27</v>
      </c>
      <c r="C27" s="16">
        <v>1304.58</v>
      </c>
      <c r="D27" s="16">
        <v>0</v>
      </c>
      <c r="E27" s="16">
        <v>0</v>
      </c>
      <c r="F27" s="16">
        <v>0</v>
      </c>
      <c r="G27" s="4"/>
      <c r="I27" s="37" t="s">
        <v>46</v>
      </c>
      <c r="J27" s="41" t="s">
        <v>27</v>
      </c>
      <c r="K27" s="16">
        <v>1304.58</v>
      </c>
      <c r="L27" s="16">
        <v>0</v>
      </c>
      <c r="M27" s="16">
        <v>0</v>
      </c>
      <c r="N27" s="16">
        <v>0</v>
      </c>
      <c r="O27" s="4"/>
    </row>
    <row r="28" spans="1:15">
      <c r="A28" s="37" t="s">
        <v>47</v>
      </c>
      <c r="B28" s="41" t="s">
        <v>27</v>
      </c>
      <c r="C28" s="16">
        <v>1352.52</v>
      </c>
      <c r="D28" s="16">
        <v>0</v>
      </c>
      <c r="E28" s="16">
        <v>0</v>
      </c>
      <c r="F28" s="16">
        <v>0</v>
      </c>
      <c r="G28" s="4"/>
      <c r="I28" s="37" t="s">
        <v>47</v>
      </c>
      <c r="J28" s="41" t="s">
        <v>27</v>
      </c>
      <c r="K28" s="16">
        <v>1352.52</v>
      </c>
      <c r="L28" s="16">
        <v>0</v>
      </c>
      <c r="M28" s="16">
        <v>0</v>
      </c>
      <c r="N28" s="16">
        <v>0</v>
      </c>
      <c r="O28" s="4"/>
    </row>
    <row r="29" spans="1:15">
      <c r="A29" s="37" t="s">
        <v>48</v>
      </c>
      <c r="B29" s="41" t="s">
        <v>20</v>
      </c>
      <c r="C29" s="16">
        <v>1353</v>
      </c>
      <c r="D29" s="16">
        <v>1522</v>
      </c>
      <c r="E29" s="16">
        <v>1522</v>
      </c>
      <c r="F29" s="16">
        <v>1688</v>
      </c>
      <c r="G29" s="4"/>
      <c r="I29" s="37" t="s">
        <v>48</v>
      </c>
      <c r="J29" s="41" t="s">
        <v>20</v>
      </c>
      <c r="K29" s="16">
        <v>1353</v>
      </c>
      <c r="L29" s="16">
        <v>1522</v>
      </c>
      <c r="M29" s="16">
        <v>1522</v>
      </c>
      <c r="N29" s="16">
        <v>1688</v>
      </c>
      <c r="O29" s="4"/>
    </row>
    <row r="30" spans="1:15">
      <c r="A30" s="37" t="s">
        <v>49</v>
      </c>
      <c r="B30" s="41" t="s">
        <v>22</v>
      </c>
      <c r="C30" s="16">
        <f>1450*2%+1450</f>
        <v>1479</v>
      </c>
      <c r="D30" s="16">
        <f>1750*2%+1750</f>
        <v>1785</v>
      </c>
      <c r="E30" s="16"/>
      <c r="F30" s="16"/>
      <c r="G30" s="4"/>
      <c r="I30" s="37" t="s">
        <v>49</v>
      </c>
      <c r="J30" s="41" t="s">
        <v>22</v>
      </c>
      <c r="K30" s="16">
        <f>1450*2%+1450</f>
        <v>1479</v>
      </c>
      <c r="L30" s="16">
        <f>1750*2%+1750</f>
        <v>1785</v>
      </c>
      <c r="M30" s="16"/>
      <c r="N30" s="16"/>
      <c r="O30" s="4"/>
    </row>
    <row r="31" spans="1:15">
      <c r="A31" s="37" t="s">
        <v>52</v>
      </c>
      <c r="B31" s="41" t="s">
        <v>27</v>
      </c>
      <c r="C31" s="16">
        <v>1248.48</v>
      </c>
      <c r="D31" s="16">
        <v>0</v>
      </c>
      <c r="E31" s="16">
        <v>0</v>
      </c>
      <c r="F31" s="16">
        <v>0</v>
      </c>
      <c r="G31" s="4"/>
      <c r="I31" s="37" t="s">
        <v>52</v>
      </c>
      <c r="J31" s="41" t="s">
        <v>27</v>
      </c>
      <c r="K31" s="16">
        <v>1248.48</v>
      </c>
      <c r="L31" s="16">
        <v>0</v>
      </c>
      <c r="M31" s="16">
        <v>0</v>
      </c>
      <c r="N31" s="16">
        <v>0</v>
      </c>
      <c r="O31" s="4"/>
    </row>
    <row r="32" spans="1:15">
      <c r="A32" s="37" t="s">
        <v>53</v>
      </c>
      <c r="B32" s="41"/>
      <c r="C32" s="16">
        <f>180.5*2%+180.5</f>
        <v>184.11</v>
      </c>
      <c r="D32" s="16"/>
      <c r="E32" s="16"/>
      <c r="F32" s="16"/>
      <c r="G32" s="4"/>
      <c r="H32" t="s">
        <v>51</v>
      </c>
      <c r="I32" s="37" t="s">
        <v>53</v>
      </c>
      <c r="J32" s="41"/>
      <c r="K32" s="16">
        <f>180.5*2%+180.5</f>
        <v>184.11</v>
      </c>
      <c r="L32" s="16"/>
      <c r="M32" s="16"/>
      <c r="N32" s="16"/>
      <c r="O32" s="4"/>
    </row>
    <row r="33" spans="1:18">
      <c r="A33" s="37" t="s">
        <v>54</v>
      </c>
      <c r="B33" s="41">
        <v>1500</v>
      </c>
      <c r="C33" s="16">
        <v>1750</v>
      </c>
      <c r="D33" s="16">
        <v>2000</v>
      </c>
      <c r="E33" s="16">
        <v>2250</v>
      </c>
      <c r="F33" s="16"/>
      <c r="G33" s="4"/>
      <c r="I33" s="37" t="s">
        <v>54</v>
      </c>
      <c r="J33" s="41">
        <v>1500</v>
      </c>
      <c r="K33" s="16">
        <v>1750</v>
      </c>
      <c r="L33" s="16">
        <v>2000</v>
      </c>
      <c r="M33" s="16">
        <v>2250</v>
      </c>
      <c r="N33" s="16"/>
      <c r="O33" s="4"/>
    </row>
    <row r="34" spans="1:18">
      <c r="A34" s="37" t="s">
        <v>55</v>
      </c>
      <c r="B34" s="41" t="s">
        <v>20</v>
      </c>
      <c r="C34" s="16">
        <v>1352.52</v>
      </c>
      <c r="D34" s="16">
        <v>1508.58</v>
      </c>
      <c r="E34" s="16">
        <v>1820.7</v>
      </c>
      <c r="F34" s="16">
        <v>1508.58</v>
      </c>
      <c r="G34" s="4"/>
      <c r="I34" s="37" t="s">
        <v>55</v>
      </c>
      <c r="J34" s="41" t="s">
        <v>20</v>
      </c>
      <c r="K34" s="16">
        <v>1352.52</v>
      </c>
      <c r="L34" s="16">
        <v>1508.58</v>
      </c>
      <c r="M34" s="16">
        <v>1820.7</v>
      </c>
      <c r="N34" s="16">
        <v>1508.58</v>
      </c>
      <c r="O34" s="4"/>
      <c r="Q34" s="47" t="s">
        <v>145</v>
      </c>
      <c r="R34" s="47" t="s">
        <v>208</v>
      </c>
    </row>
    <row r="35" spans="1:18">
      <c r="A35" s="37" t="s">
        <v>56</v>
      </c>
      <c r="B35" s="41" t="s">
        <v>20</v>
      </c>
      <c r="C35" s="16">
        <f>1450*2%+1450</f>
        <v>1479</v>
      </c>
      <c r="D35" s="16">
        <f>1750*2%+1750</f>
        <v>1785</v>
      </c>
      <c r="E35" s="16"/>
      <c r="F35" s="16"/>
      <c r="G35" s="4"/>
      <c r="I35" s="37" t="s">
        <v>56</v>
      </c>
      <c r="J35" s="41" t="s">
        <v>20</v>
      </c>
      <c r="K35" s="16">
        <f>1450*2%+1450</f>
        <v>1479</v>
      </c>
      <c r="L35" s="16">
        <f>1750*2%+1750</f>
        <v>1785</v>
      </c>
      <c r="M35" s="16"/>
      <c r="N35" s="16"/>
      <c r="O35" s="4"/>
      <c r="Q35" s="15" t="s">
        <v>148</v>
      </c>
      <c r="R35" s="45" t="s">
        <v>149</v>
      </c>
    </row>
    <row r="36" spans="1:18">
      <c r="A36" s="37" t="s">
        <v>57</v>
      </c>
      <c r="B36" s="41" t="s">
        <v>27</v>
      </c>
      <c r="C36" s="16">
        <f>1298*2%+1298</f>
        <v>1323.96</v>
      </c>
      <c r="D36" s="16"/>
      <c r="E36" s="16"/>
      <c r="F36" s="16"/>
      <c r="G36" s="4"/>
      <c r="I36" s="37" t="s">
        <v>57</v>
      </c>
      <c r="J36" s="41" t="s">
        <v>27</v>
      </c>
      <c r="K36" s="16">
        <f>1298*2%+1298</f>
        <v>1323.96</v>
      </c>
      <c r="L36" s="16"/>
      <c r="M36" s="16"/>
      <c r="N36" s="16"/>
      <c r="O36" s="4"/>
      <c r="Q36" s="15" t="s">
        <v>151</v>
      </c>
      <c r="R36" s="15" t="s">
        <v>152</v>
      </c>
    </row>
    <row r="37" spans="1:18">
      <c r="A37" s="37" t="s">
        <v>58</v>
      </c>
      <c r="B37" s="41" t="s">
        <v>20</v>
      </c>
      <c r="C37" s="16">
        <v>1666.68</v>
      </c>
      <c r="D37" s="16">
        <v>2011.44</v>
      </c>
      <c r="E37" s="16">
        <v>2299.08</v>
      </c>
      <c r="F37" s="16">
        <v>2011.44</v>
      </c>
      <c r="G37" s="4"/>
      <c r="I37" s="37" t="s">
        <v>58</v>
      </c>
      <c r="J37" s="41" t="s">
        <v>20</v>
      </c>
      <c r="K37" s="16">
        <v>1666.68</v>
      </c>
      <c r="L37" s="16">
        <v>2011.44</v>
      </c>
      <c r="M37" s="16">
        <v>2299.08</v>
      </c>
      <c r="N37" s="16">
        <v>2011.44</v>
      </c>
      <c r="O37" s="4"/>
      <c r="Q37" s="15" t="s">
        <v>153</v>
      </c>
      <c r="R37" s="15" t="s">
        <v>152</v>
      </c>
    </row>
    <row r="38" spans="1:18">
      <c r="A38" s="37" t="s">
        <v>59</v>
      </c>
      <c r="B38" s="41" t="s">
        <v>20</v>
      </c>
      <c r="C38" s="16">
        <f>1395*2%+1395</f>
        <v>1422.9</v>
      </c>
      <c r="D38" s="16">
        <f>1686*2%+1686</f>
        <v>1719.72</v>
      </c>
      <c r="E38" s="16"/>
      <c r="F38" s="16"/>
      <c r="G38" s="4"/>
      <c r="I38" s="37" t="s">
        <v>59</v>
      </c>
      <c r="J38" s="41" t="s">
        <v>20</v>
      </c>
      <c r="K38" s="16">
        <f>1395*2%+1395</f>
        <v>1422.9</v>
      </c>
      <c r="L38" s="16">
        <f>1686*2%+1686</f>
        <v>1719.72</v>
      </c>
      <c r="M38" s="16"/>
      <c r="N38" s="16"/>
      <c r="O38" s="4"/>
      <c r="Q38" s="15" t="s">
        <v>156</v>
      </c>
      <c r="R38" s="15" t="s">
        <v>152</v>
      </c>
    </row>
    <row r="39" spans="1:18">
      <c r="A39" s="37" t="s">
        <v>60</v>
      </c>
      <c r="B39" s="41" t="s">
        <v>20</v>
      </c>
      <c r="C39" s="16">
        <v>1450</v>
      </c>
      <c r="D39" s="16">
        <v>1750</v>
      </c>
      <c r="E39" s="16"/>
      <c r="F39" s="16"/>
      <c r="G39" s="4"/>
      <c r="I39" s="37" t="s">
        <v>60</v>
      </c>
      <c r="J39" s="41" t="s">
        <v>20</v>
      </c>
      <c r="K39" s="16">
        <v>1450</v>
      </c>
      <c r="L39" s="16">
        <v>1750</v>
      </c>
      <c r="M39" s="16"/>
      <c r="N39" s="16"/>
      <c r="O39" s="4"/>
      <c r="Q39" s="15" t="s">
        <v>157</v>
      </c>
      <c r="R39" s="45" t="s">
        <v>158</v>
      </c>
    </row>
    <row r="40" spans="1:18">
      <c r="A40" s="37" t="s">
        <v>61</v>
      </c>
      <c r="B40" s="41" t="s">
        <v>20</v>
      </c>
      <c r="C40" s="16">
        <v>1483.08</v>
      </c>
      <c r="D40" s="16">
        <v>1601.4</v>
      </c>
      <c r="E40" s="16">
        <v>0</v>
      </c>
      <c r="F40" s="16">
        <v>0</v>
      </c>
      <c r="G40" s="4"/>
      <c r="I40" s="37" t="s">
        <v>61</v>
      </c>
      <c r="J40" s="41" t="s">
        <v>20</v>
      </c>
      <c r="K40" s="16">
        <v>1483.08</v>
      </c>
      <c r="L40" s="16">
        <v>1601.4</v>
      </c>
      <c r="M40" s="16">
        <v>0</v>
      </c>
      <c r="N40" s="16">
        <v>0</v>
      </c>
      <c r="O40" s="4"/>
      <c r="Q40" s="15" t="s">
        <v>159</v>
      </c>
      <c r="R40" s="15" t="s">
        <v>10</v>
      </c>
    </row>
    <row r="41" spans="1:18">
      <c r="A41" s="37" t="s">
        <v>62</v>
      </c>
      <c r="B41" s="41" t="s">
        <v>20</v>
      </c>
      <c r="C41" s="16">
        <v>1666.68</v>
      </c>
      <c r="D41" s="16">
        <v>2011.44</v>
      </c>
      <c r="E41" s="16">
        <v>0</v>
      </c>
      <c r="F41" s="16">
        <v>2011.44</v>
      </c>
      <c r="G41" s="4"/>
      <c r="I41" s="37" t="s">
        <v>62</v>
      </c>
      <c r="J41" s="41" t="s">
        <v>20</v>
      </c>
      <c r="K41" s="16">
        <v>1666.68</v>
      </c>
      <c r="L41" s="16">
        <v>2011.44</v>
      </c>
      <c r="M41" s="16">
        <v>0</v>
      </c>
      <c r="N41" s="16">
        <v>2011.44</v>
      </c>
      <c r="O41" s="4"/>
      <c r="Q41" s="15" t="s">
        <v>161</v>
      </c>
      <c r="R41" s="15" t="s">
        <v>209</v>
      </c>
    </row>
    <row r="42" spans="1:18">
      <c r="A42" s="37" t="s">
        <v>63</v>
      </c>
      <c r="B42" s="41" t="s">
        <v>20</v>
      </c>
      <c r="C42" s="16">
        <v>1450</v>
      </c>
      <c r="D42" s="16">
        <v>1750</v>
      </c>
      <c r="E42" s="16">
        <v>2000</v>
      </c>
      <c r="F42" s="16">
        <v>1750</v>
      </c>
      <c r="G42" s="4"/>
      <c r="I42" s="37" t="s">
        <v>63</v>
      </c>
      <c r="J42" s="41" t="s">
        <v>20</v>
      </c>
      <c r="K42" s="16">
        <v>1450</v>
      </c>
      <c r="L42" s="16">
        <v>1750</v>
      </c>
      <c r="M42" s="16">
        <v>2000</v>
      </c>
      <c r="N42" s="16">
        <v>1750</v>
      </c>
      <c r="O42" s="4"/>
      <c r="Q42" s="15" t="s">
        <v>162</v>
      </c>
      <c r="R42" s="45" t="s">
        <v>163</v>
      </c>
    </row>
    <row r="43" spans="1:18">
      <c r="A43" s="37" t="s">
        <v>64</v>
      </c>
      <c r="B43" s="41" t="s">
        <v>20</v>
      </c>
      <c r="C43" s="16">
        <v>1479</v>
      </c>
      <c r="D43" s="16">
        <v>1785</v>
      </c>
      <c r="E43" s="16">
        <v>0</v>
      </c>
      <c r="F43" s="16">
        <v>0</v>
      </c>
      <c r="G43" s="4"/>
      <c r="I43" s="37" t="s">
        <v>64</v>
      </c>
      <c r="J43" s="41" t="s">
        <v>20</v>
      </c>
      <c r="K43" s="16">
        <v>1479</v>
      </c>
      <c r="L43" s="16">
        <v>1785</v>
      </c>
      <c r="M43" s="16">
        <v>0</v>
      </c>
      <c r="N43" s="16">
        <v>0</v>
      </c>
      <c r="O43" s="4"/>
      <c r="Q43" s="15" t="s">
        <v>165</v>
      </c>
      <c r="R43" s="45" t="s">
        <v>163</v>
      </c>
    </row>
    <row r="44" spans="1:18">
      <c r="A44" s="37" t="s">
        <v>65</v>
      </c>
      <c r="B44" s="41" t="s">
        <v>20</v>
      </c>
      <c r="C44" s="16">
        <v>1380.06</v>
      </c>
      <c r="D44" s="16">
        <v>1666.68</v>
      </c>
      <c r="E44" s="16">
        <v>2011.44</v>
      </c>
      <c r="F44" s="16">
        <v>0</v>
      </c>
      <c r="G44" s="4"/>
      <c r="I44" s="37" t="s">
        <v>65</v>
      </c>
      <c r="J44" s="41" t="s">
        <v>20</v>
      </c>
      <c r="K44" s="16">
        <v>1380.06</v>
      </c>
      <c r="L44" s="16">
        <v>1666.68</v>
      </c>
      <c r="M44" s="16">
        <v>2011.44</v>
      </c>
      <c r="N44" s="16">
        <v>0</v>
      </c>
      <c r="O44" s="4"/>
      <c r="Q44" s="15" t="s">
        <v>166</v>
      </c>
      <c r="R44" s="45" t="s">
        <v>158</v>
      </c>
    </row>
    <row r="45" spans="1:18">
      <c r="A45" s="46" t="s">
        <v>66</v>
      </c>
      <c r="B45" s="41" t="s">
        <v>22</v>
      </c>
      <c r="C45" s="16">
        <v>1450</v>
      </c>
      <c r="D45" s="16">
        <v>1750</v>
      </c>
      <c r="E45" s="16">
        <v>0</v>
      </c>
      <c r="F45" s="16">
        <v>0</v>
      </c>
      <c r="G45" s="4"/>
      <c r="I45" s="46" t="s">
        <v>66</v>
      </c>
      <c r="J45" s="41" t="s">
        <v>22</v>
      </c>
      <c r="K45" s="16">
        <v>1450</v>
      </c>
      <c r="L45" s="16">
        <v>1750</v>
      </c>
      <c r="M45" s="16">
        <v>0</v>
      </c>
      <c r="N45" s="16">
        <v>0</v>
      </c>
      <c r="O45" s="4"/>
      <c r="Q45" s="15" t="s">
        <v>167</v>
      </c>
      <c r="R45" s="45" t="s">
        <v>210</v>
      </c>
    </row>
    <row r="46" spans="1:18">
      <c r="A46" s="37" t="s">
        <v>67</v>
      </c>
      <c r="B46" s="41" t="s">
        <v>20</v>
      </c>
      <c r="C46" s="16">
        <v>1248.48</v>
      </c>
      <c r="D46" s="16">
        <v>1564.68</v>
      </c>
      <c r="E46" s="16">
        <v>0</v>
      </c>
      <c r="F46" s="16">
        <v>0</v>
      </c>
      <c r="G46" s="4"/>
      <c r="I46" s="37" t="s">
        <v>67</v>
      </c>
      <c r="J46" s="41" t="s">
        <v>20</v>
      </c>
      <c r="K46" s="16">
        <v>1248.48</v>
      </c>
      <c r="L46" s="16">
        <v>1564.68</v>
      </c>
      <c r="M46" s="16">
        <v>0</v>
      </c>
      <c r="N46" s="16">
        <v>0</v>
      </c>
      <c r="O46" s="4"/>
      <c r="Q46" s="15" t="s">
        <v>211</v>
      </c>
      <c r="R46" s="45" t="s">
        <v>195</v>
      </c>
    </row>
    <row r="47" spans="1:18">
      <c r="A47" s="37" t="s">
        <v>68</v>
      </c>
      <c r="B47" s="41" t="s">
        <v>20</v>
      </c>
      <c r="C47" s="16">
        <v>1508.58</v>
      </c>
      <c r="D47" s="16">
        <v>1820.7</v>
      </c>
      <c r="E47" s="16">
        <v>0</v>
      </c>
      <c r="F47" s="16">
        <v>0</v>
      </c>
      <c r="G47" s="4"/>
      <c r="I47" s="37" t="s">
        <v>68</v>
      </c>
      <c r="J47" s="41" t="s">
        <v>20</v>
      </c>
      <c r="K47" s="16">
        <v>1508.58</v>
      </c>
      <c r="L47" s="16">
        <v>1820.7</v>
      </c>
      <c r="M47" s="16">
        <v>0</v>
      </c>
      <c r="N47" s="16">
        <v>0</v>
      </c>
      <c r="O47" s="4"/>
      <c r="Q47" s="15" t="s">
        <v>168</v>
      </c>
      <c r="R47" s="45" t="s">
        <v>169</v>
      </c>
    </row>
    <row r="48" spans="1:18">
      <c r="A48" s="37" t="s">
        <v>69</v>
      </c>
      <c r="B48" s="41" t="s">
        <v>20</v>
      </c>
      <c r="C48" s="16">
        <v>1380.06</v>
      </c>
      <c r="D48" s="16">
        <v>1380.06</v>
      </c>
      <c r="E48" s="16">
        <v>1380.06</v>
      </c>
      <c r="F48" s="16">
        <v>1666.68</v>
      </c>
      <c r="G48" s="4"/>
      <c r="I48" s="37" t="s">
        <v>69</v>
      </c>
      <c r="J48" s="41" t="s">
        <v>20</v>
      </c>
      <c r="K48" s="16">
        <v>1380.06</v>
      </c>
      <c r="L48" s="16">
        <v>1380.06</v>
      </c>
      <c r="M48" s="16">
        <v>1380.06</v>
      </c>
      <c r="N48" s="16">
        <v>1666.68</v>
      </c>
      <c r="O48" s="4"/>
      <c r="Q48" s="15" t="s">
        <v>170</v>
      </c>
      <c r="R48" s="45" t="s">
        <v>163</v>
      </c>
    </row>
    <row r="49" spans="1:18">
      <c r="A49" s="37" t="s">
        <v>70</v>
      </c>
      <c r="B49" s="41" t="s">
        <v>20</v>
      </c>
      <c r="C49" s="16">
        <f>1237*2%+1237</f>
        <v>1261.74</v>
      </c>
      <c r="D49" s="16">
        <f>1237*2%+1237</f>
        <v>1261.74</v>
      </c>
      <c r="E49" s="16">
        <f>1237*2%+1237</f>
        <v>1261.74</v>
      </c>
      <c r="F49" s="16">
        <f>1237*2%+1237</f>
        <v>1261.74</v>
      </c>
      <c r="G49" s="4"/>
      <c r="I49" s="37" t="s">
        <v>70</v>
      </c>
      <c r="J49" s="41" t="s">
        <v>20</v>
      </c>
      <c r="K49" s="16">
        <f>1237*2%+1237</f>
        <v>1261.74</v>
      </c>
      <c r="L49" s="16">
        <f>1237*2%+1237</f>
        <v>1261.74</v>
      </c>
      <c r="M49" s="16">
        <f>1237*2%+1237</f>
        <v>1261.74</v>
      </c>
      <c r="N49" s="16">
        <f>1237*2%+1237</f>
        <v>1261.74</v>
      </c>
      <c r="O49" s="4"/>
      <c r="Q49" s="15" t="s">
        <v>172</v>
      </c>
      <c r="R49" s="45" t="s">
        <v>169</v>
      </c>
    </row>
    <row r="50" spans="1:18">
      <c r="A50" s="37" t="s">
        <v>71</v>
      </c>
      <c r="B50" s="41" t="s">
        <v>20</v>
      </c>
      <c r="C50" s="16">
        <v>1380.06</v>
      </c>
      <c r="D50" s="16">
        <v>1666.68</v>
      </c>
      <c r="E50" s="16">
        <v>0</v>
      </c>
      <c r="F50" s="16">
        <v>0</v>
      </c>
      <c r="G50" s="4"/>
      <c r="I50" s="37" t="s">
        <v>71</v>
      </c>
      <c r="J50" s="41" t="s">
        <v>20</v>
      </c>
      <c r="K50" s="16">
        <v>1380.06</v>
      </c>
      <c r="L50" s="16">
        <v>1666.68</v>
      </c>
      <c r="M50" s="16">
        <v>0</v>
      </c>
      <c r="N50" s="16">
        <v>0</v>
      </c>
      <c r="O50" s="4"/>
      <c r="Q50" s="15" t="s">
        <v>174</v>
      </c>
      <c r="R50" s="45" t="s">
        <v>169</v>
      </c>
    </row>
    <row r="51" spans="1:18">
      <c r="A51" s="37" t="s">
        <v>72</v>
      </c>
      <c r="B51" s="41" t="s">
        <v>20</v>
      </c>
      <c r="C51" s="16">
        <v>1230.1199999999999</v>
      </c>
      <c r="D51" s="16">
        <v>1486.14</v>
      </c>
      <c r="E51" s="16">
        <v>1794.18</v>
      </c>
      <c r="F51" s="16">
        <v>0</v>
      </c>
      <c r="G51" s="4"/>
      <c r="I51" s="37" t="s">
        <v>72</v>
      </c>
      <c r="J51" s="41" t="s">
        <v>20</v>
      </c>
      <c r="K51" s="16">
        <v>1230.1199999999999</v>
      </c>
      <c r="L51" s="16">
        <v>1486.14</v>
      </c>
      <c r="M51" s="16">
        <v>1794.18</v>
      </c>
      <c r="N51" s="16">
        <v>0</v>
      </c>
      <c r="O51" s="4"/>
      <c r="Q51" s="15" t="s">
        <v>176</v>
      </c>
      <c r="R51" s="45" t="s">
        <v>210</v>
      </c>
    </row>
    <row r="52" spans="1:18">
      <c r="A52" s="37" t="s">
        <v>73</v>
      </c>
      <c r="B52" s="41" t="s">
        <v>20</v>
      </c>
      <c r="C52" s="16">
        <v>1450</v>
      </c>
      <c r="D52" s="16">
        <v>1750</v>
      </c>
      <c r="E52" s="16"/>
      <c r="F52" s="16"/>
      <c r="G52" s="4"/>
      <c r="I52" s="37" t="s">
        <v>73</v>
      </c>
      <c r="J52" s="41" t="s">
        <v>20</v>
      </c>
      <c r="K52" s="16">
        <v>1450</v>
      </c>
      <c r="L52" s="16">
        <v>1750</v>
      </c>
      <c r="M52" s="16"/>
      <c r="N52" s="16"/>
      <c r="O52" s="4"/>
      <c r="Q52" s="15" t="s">
        <v>178</v>
      </c>
      <c r="R52" s="45" t="s">
        <v>149</v>
      </c>
    </row>
    <row r="53" spans="1:18">
      <c r="A53" s="37" t="s">
        <v>74</v>
      </c>
      <c r="B53" s="41" t="s">
        <v>20</v>
      </c>
      <c r="C53" s="16">
        <v>1422.9</v>
      </c>
      <c r="D53" s="16">
        <v>1719.72</v>
      </c>
      <c r="E53" s="16">
        <v>1719.72</v>
      </c>
      <c r="F53" s="16">
        <v>0</v>
      </c>
      <c r="G53" s="4"/>
      <c r="I53" s="37" t="s">
        <v>74</v>
      </c>
      <c r="J53" s="41" t="s">
        <v>20</v>
      </c>
      <c r="K53" s="16">
        <v>1422.9</v>
      </c>
      <c r="L53" s="16">
        <v>1719.72</v>
      </c>
      <c r="M53" s="16">
        <v>1719.72</v>
      </c>
      <c r="N53" s="16">
        <v>0</v>
      </c>
      <c r="O53" s="4"/>
      <c r="Q53" s="15" t="s">
        <v>180</v>
      </c>
      <c r="R53" s="45" t="s">
        <v>210</v>
      </c>
    </row>
    <row r="54" spans="1:18">
      <c r="A54" s="37" t="s">
        <v>75</v>
      </c>
      <c r="B54" s="41" t="s">
        <v>27</v>
      </c>
      <c r="C54" s="16">
        <v>1248.48</v>
      </c>
      <c r="D54" s="16">
        <v>0</v>
      </c>
      <c r="E54" s="16">
        <v>0</v>
      </c>
      <c r="F54" s="16">
        <v>0</v>
      </c>
      <c r="G54" s="4"/>
      <c r="I54" s="37" t="s">
        <v>75</v>
      </c>
      <c r="J54" s="41" t="s">
        <v>27</v>
      </c>
      <c r="K54" s="16">
        <v>1248.48</v>
      </c>
      <c r="L54" s="16">
        <v>0</v>
      </c>
      <c r="M54" s="16">
        <v>0</v>
      </c>
      <c r="N54" s="16">
        <v>0</v>
      </c>
      <c r="O54" s="4"/>
      <c r="Q54" s="15" t="s">
        <v>183</v>
      </c>
      <c r="R54" s="45" t="s">
        <v>169</v>
      </c>
    </row>
    <row r="55" spans="1:18">
      <c r="A55" s="37" t="s">
        <v>75</v>
      </c>
      <c r="B55" s="41" t="s">
        <v>20</v>
      </c>
      <c r="C55" s="16">
        <v>1248.48</v>
      </c>
      <c r="D55" s="16">
        <v>1248.48</v>
      </c>
      <c r="E55" s="16">
        <v>0</v>
      </c>
      <c r="F55" s="16">
        <v>0</v>
      </c>
      <c r="G55" s="4"/>
      <c r="H55" t="s">
        <v>76</v>
      </c>
      <c r="I55" s="37" t="s">
        <v>75</v>
      </c>
      <c r="J55" s="41" t="s">
        <v>20</v>
      </c>
      <c r="K55" s="16">
        <v>1248.48</v>
      </c>
      <c r="L55" s="16">
        <v>1248.48</v>
      </c>
      <c r="M55" s="16">
        <v>0</v>
      </c>
      <c r="N55" s="16">
        <v>0</v>
      </c>
      <c r="O55" s="4"/>
      <c r="Q55" s="15" t="s">
        <v>185</v>
      </c>
      <c r="R55" s="45" t="s">
        <v>210</v>
      </c>
    </row>
    <row r="56" spans="1:18">
      <c r="A56" s="37" t="s">
        <v>77</v>
      </c>
      <c r="B56" s="41" t="s">
        <v>20</v>
      </c>
      <c r="C56" s="16">
        <v>1380.06</v>
      </c>
      <c r="D56" s="16">
        <v>1666.68</v>
      </c>
      <c r="E56" s="16">
        <v>2011.44</v>
      </c>
      <c r="F56" s="16">
        <v>1666.68</v>
      </c>
      <c r="G56" s="4"/>
      <c r="I56" s="37" t="s">
        <v>77</v>
      </c>
      <c r="J56" s="41" t="s">
        <v>20</v>
      </c>
      <c r="K56" s="16">
        <v>1380.06</v>
      </c>
      <c r="L56" s="16">
        <v>1666.68</v>
      </c>
      <c r="M56" s="16">
        <v>2011.44</v>
      </c>
      <c r="N56" s="16">
        <v>1666.68</v>
      </c>
      <c r="O56" s="4"/>
      <c r="Q56" s="15" t="s">
        <v>186</v>
      </c>
      <c r="R56" s="45" t="s">
        <v>210</v>
      </c>
    </row>
    <row r="57" spans="1:18">
      <c r="A57" s="37" t="s">
        <v>78</v>
      </c>
      <c r="B57" s="41" t="s">
        <v>20</v>
      </c>
      <c r="C57" s="16">
        <v>1450</v>
      </c>
      <c r="D57" s="16">
        <v>1750</v>
      </c>
      <c r="E57" s="16">
        <v>0</v>
      </c>
      <c r="F57" s="16">
        <v>0</v>
      </c>
      <c r="G57" s="4"/>
      <c r="I57" s="37" t="s">
        <v>78</v>
      </c>
      <c r="J57" s="41" t="s">
        <v>20</v>
      </c>
      <c r="K57" s="16">
        <v>1450</v>
      </c>
      <c r="L57" s="16">
        <v>1750</v>
      </c>
      <c r="M57" s="16">
        <v>0</v>
      </c>
      <c r="N57" s="16">
        <v>0</v>
      </c>
      <c r="O57" s="4"/>
      <c r="Q57" t="s">
        <v>187</v>
      </c>
      <c r="R57" t="s">
        <v>188</v>
      </c>
    </row>
    <row r="58" spans="1:18">
      <c r="A58" s="37" t="s">
        <v>79</v>
      </c>
      <c r="B58" s="41" t="s">
        <v>20</v>
      </c>
      <c r="C58" s="16">
        <v>1362.72</v>
      </c>
      <c r="D58" s="16">
        <v>1602.42</v>
      </c>
      <c r="E58" s="16">
        <v>1602.42</v>
      </c>
      <c r="F58" s="16">
        <v>0</v>
      </c>
      <c r="G58" s="4"/>
      <c r="I58" s="37" t="s">
        <v>79</v>
      </c>
      <c r="J58" s="41" t="s">
        <v>20</v>
      </c>
      <c r="K58" s="16">
        <v>1362.72</v>
      </c>
      <c r="L58" s="16">
        <v>1602.42</v>
      </c>
      <c r="M58" s="16">
        <v>1602.42</v>
      </c>
      <c r="N58" s="16">
        <v>0</v>
      </c>
      <c r="O58" s="4"/>
      <c r="Q58" t="s">
        <v>189</v>
      </c>
      <c r="R58" s="44" t="s">
        <v>190</v>
      </c>
    </row>
    <row r="59" spans="1:18">
      <c r="A59" s="37" t="s">
        <v>81</v>
      </c>
      <c r="B59" s="41" t="s">
        <v>82</v>
      </c>
      <c r="C59" s="16">
        <v>1295.4000000000001</v>
      </c>
      <c r="D59" s="16">
        <v>0</v>
      </c>
      <c r="E59" s="16">
        <v>0</v>
      </c>
      <c r="F59" s="16">
        <v>0</v>
      </c>
      <c r="G59" s="4"/>
      <c r="H59" t="s">
        <v>80</v>
      </c>
      <c r="I59" s="37" t="s">
        <v>81</v>
      </c>
      <c r="J59" s="41" t="s">
        <v>82</v>
      </c>
      <c r="K59" s="16">
        <v>1295.4000000000001</v>
      </c>
      <c r="L59" s="16">
        <v>0</v>
      </c>
      <c r="M59" s="16">
        <v>0</v>
      </c>
      <c r="N59" s="16">
        <v>0</v>
      </c>
      <c r="O59" s="4"/>
      <c r="Q59" t="s">
        <v>191</v>
      </c>
      <c r="R59" s="45" t="s">
        <v>192</v>
      </c>
    </row>
    <row r="60" spans="1:18">
      <c r="A60" s="37" t="s">
        <v>81</v>
      </c>
      <c r="B60" s="41" t="s">
        <v>82</v>
      </c>
      <c r="C60" s="16">
        <v>1500</v>
      </c>
      <c r="D60" s="16">
        <v>0</v>
      </c>
      <c r="E60" s="16">
        <v>0</v>
      </c>
      <c r="F60" s="16">
        <v>0</v>
      </c>
      <c r="G60" s="4"/>
      <c r="H60" t="s">
        <v>83</v>
      </c>
      <c r="I60" s="37" t="s">
        <v>81</v>
      </c>
      <c r="J60" s="41" t="s">
        <v>82</v>
      </c>
      <c r="K60" s="16">
        <v>1500</v>
      </c>
      <c r="L60" s="16">
        <v>0</v>
      </c>
      <c r="M60" s="16">
        <v>0</v>
      </c>
      <c r="N60" s="16">
        <v>0</v>
      </c>
      <c r="O60" s="4"/>
      <c r="Q60" t="s">
        <v>193</v>
      </c>
      <c r="R60" s="44" t="s">
        <v>169</v>
      </c>
    </row>
    <row r="61" spans="1:18">
      <c r="A61" s="37" t="s">
        <v>84</v>
      </c>
      <c r="B61" s="41" t="s">
        <v>20</v>
      </c>
      <c r="C61" s="16">
        <f>1450*2%+1450</f>
        <v>1479</v>
      </c>
      <c r="D61" s="16">
        <f>1750*2%+1750</f>
        <v>1785</v>
      </c>
      <c r="E61" s="16"/>
      <c r="F61" s="16"/>
      <c r="G61" s="4"/>
      <c r="I61" s="37" t="s">
        <v>84</v>
      </c>
      <c r="J61" s="41" t="s">
        <v>20</v>
      </c>
      <c r="K61" s="16">
        <f>1450*2%+1450</f>
        <v>1479</v>
      </c>
      <c r="L61" s="16">
        <f>1750*2%+1750</f>
        <v>1785</v>
      </c>
      <c r="M61" s="16"/>
      <c r="N61" s="16"/>
      <c r="O61" s="4"/>
      <c r="Q61" t="s">
        <v>194</v>
      </c>
      <c r="R61" s="44" t="s">
        <v>195</v>
      </c>
    </row>
    <row r="62" spans="1:18">
      <c r="A62" s="37" t="s">
        <v>85</v>
      </c>
      <c r="B62" s="41" t="s">
        <v>22</v>
      </c>
      <c r="C62" s="16">
        <f>1465*2%+1465</f>
        <v>1494.3</v>
      </c>
      <c r="D62" s="16">
        <f>1770*2%+1770</f>
        <v>1805.4</v>
      </c>
      <c r="E62" s="16">
        <v>2179</v>
      </c>
      <c r="F62" s="16">
        <v>1494</v>
      </c>
      <c r="G62" s="4"/>
      <c r="I62" s="37" t="s">
        <v>85</v>
      </c>
      <c r="J62" s="41" t="s">
        <v>22</v>
      </c>
      <c r="K62" s="16">
        <f>1465*2%+1465</f>
        <v>1494.3</v>
      </c>
      <c r="L62" s="16">
        <f>1770*2%+1770</f>
        <v>1805.4</v>
      </c>
      <c r="M62" s="16">
        <v>2179</v>
      </c>
      <c r="N62" s="16">
        <v>1494</v>
      </c>
      <c r="O62" s="4"/>
      <c r="Q62" s="43" t="s">
        <v>196</v>
      </c>
      <c r="R62" s="44" t="s">
        <v>195</v>
      </c>
    </row>
    <row r="63" spans="1:18">
      <c r="A63" s="37" t="s">
        <v>86</v>
      </c>
      <c r="B63" s="41" t="s">
        <v>20</v>
      </c>
      <c r="C63" s="16">
        <v>1380.06</v>
      </c>
      <c r="D63" s="16">
        <v>1666.68</v>
      </c>
      <c r="E63" s="16">
        <v>2011.44</v>
      </c>
      <c r="F63" s="16">
        <v>1666.68</v>
      </c>
      <c r="G63" s="4"/>
      <c r="I63" s="37" t="s">
        <v>86</v>
      </c>
      <c r="J63" s="41" t="s">
        <v>20</v>
      </c>
      <c r="K63" s="16">
        <v>1380.06</v>
      </c>
      <c r="L63" s="16">
        <v>1666.68</v>
      </c>
      <c r="M63" s="16">
        <v>2011.44</v>
      </c>
      <c r="N63" s="16">
        <v>1666.68</v>
      </c>
      <c r="O63" s="4"/>
      <c r="Q63" s="43"/>
    </row>
    <row r="64" spans="1:18">
      <c r="A64" s="37" t="s">
        <v>87</v>
      </c>
      <c r="B64" s="41" t="s">
        <v>20</v>
      </c>
      <c r="C64" s="16">
        <v>1750</v>
      </c>
      <c r="D64" s="16">
        <v>2000</v>
      </c>
      <c r="E64" s="16"/>
      <c r="F64" s="16"/>
      <c r="G64" s="4"/>
      <c r="H64" s="6">
        <v>46388</v>
      </c>
      <c r="I64" s="37" t="s">
        <v>87</v>
      </c>
      <c r="J64" s="41" t="s">
        <v>20</v>
      </c>
      <c r="K64" s="16">
        <v>1750</v>
      </c>
      <c r="L64" s="16">
        <v>2000</v>
      </c>
      <c r="M64" s="16"/>
      <c r="N64" s="16"/>
      <c r="O64" s="4"/>
      <c r="P64" s="6"/>
      <c r="Q64" s="43"/>
    </row>
    <row r="65" spans="1:17">
      <c r="A65" s="37" t="s">
        <v>88</v>
      </c>
      <c r="B65" s="41">
        <v>1500</v>
      </c>
      <c r="C65" s="16">
        <v>1750</v>
      </c>
      <c r="D65" s="16">
        <v>2000</v>
      </c>
      <c r="E65" s="16">
        <v>2250</v>
      </c>
      <c r="F65" s="16"/>
      <c r="G65" s="4"/>
      <c r="I65" s="37" t="s">
        <v>88</v>
      </c>
      <c r="J65" s="41">
        <v>1500</v>
      </c>
      <c r="K65" s="16">
        <v>1750</v>
      </c>
      <c r="L65" s="16">
        <v>2000</v>
      </c>
      <c r="M65" s="16">
        <v>2250</v>
      </c>
      <c r="N65" s="16"/>
      <c r="O65" s="4"/>
      <c r="Q65" s="43"/>
    </row>
    <row r="66" spans="1:17">
      <c r="A66" s="37" t="s">
        <v>90</v>
      </c>
      <c r="B66" s="41" t="s">
        <v>27</v>
      </c>
      <c r="C66" s="42" t="s">
        <v>212</v>
      </c>
      <c r="D66" s="42" t="s">
        <v>213</v>
      </c>
      <c r="E66" s="16">
        <v>0</v>
      </c>
      <c r="F66" s="16">
        <v>0</v>
      </c>
      <c r="G66" s="4"/>
      <c r="H66" s="7" t="s">
        <v>89</v>
      </c>
      <c r="I66" s="37" t="s">
        <v>90</v>
      </c>
      <c r="J66" s="41" t="s">
        <v>27</v>
      </c>
      <c r="K66" s="42" t="s">
        <v>212</v>
      </c>
      <c r="L66" s="42" t="s">
        <v>213</v>
      </c>
      <c r="M66" s="16">
        <v>0</v>
      </c>
      <c r="N66" s="16">
        <v>0</v>
      </c>
      <c r="O66" s="4"/>
      <c r="P66" s="7"/>
    </row>
    <row r="67" spans="1:17">
      <c r="A67" s="37" t="s">
        <v>93</v>
      </c>
      <c r="B67" s="41" t="s">
        <v>20</v>
      </c>
      <c r="C67" s="16">
        <f>1305*2%+1305</f>
        <v>1331.1</v>
      </c>
      <c r="D67" s="16">
        <f>1575*2%+1575</f>
        <v>1606.5</v>
      </c>
      <c r="E67" s="16"/>
      <c r="F67" s="16"/>
      <c r="G67" s="4"/>
      <c r="I67" s="37" t="s">
        <v>93</v>
      </c>
      <c r="J67" s="41" t="s">
        <v>20</v>
      </c>
      <c r="K67" s="16">
        <f>1305*2%+1305</f>
        <v>1331.1</v>
      </c>
      <c r="L67" s="16">
        <f>1575*2%+1575</f>
        <v>1606.5</v>
      </c>
      <c r="M67" s="16"/>
      <c r="N67" s="16"/>
      <c r="O67" s="4"/>
    </row>
    <row r="68" spans="1:17" ht="12.75" customHeight="1">
      <c r="A68" s="37" t="s">
        <v>95</v>
      </c>
      <c r="B68" s="41" t="s">
        <v>27</v>
      </c>
      <c r="C68" s="16">
        <f>1214*2%+1214</f>
        <v>1238.28</v>
      </c>
      <c r="D68" s="16"/>
      <c r="E68" s="16"/>
      <c r="F68" s="16"/>
      <c r="G68" s="4"/>
      <c r="H68" t="s">
        <v>94</v>
      </c>
      <c r="I68" s="37" t="s">
        <v>95</v>
      </c>
      <c r="J68" s="41" t="s">
        <v>27</v>
      </c>
      <c r="K68" s="16">
        <f>1214*2%+1214</f>
        <v>1238.28</v>
      </c>
      <c r="L68" s="16"/>
      <c r="M68" s="16"/>
      <c r="N68" s="16"/>
      <c r="O68" s="4"/>
    </row>
    <row r="69" spans="1:17">
      <c r="A69" s="37" t="s">
        <v>96</v>
      </c>
      <c r="B69" s="41" t="s">
        <v>27</v>
      </c>
      <c r="C69" s="16">
        <v>1256.6400000000001</v>
      </c>
      <c r="D69" s="16">
        <v>0</v>
      </c>
      <c r="E69" s="16">
        <v>0</v>
      </c>
      <c r="F69" s="16">
        <v>0</v>
      </c>
      <c r="G69" s="4"/>
      <c r="I69" s="37" t="s">
        <v>96</v>
      </c>
      <c r="J69" s="41" t="s">
        <v>27</v>
      </c>
      <c r="K69" s="16">
        <v>1256.6400000000001</v>
      </c>
      <c r="L69" s="16">
        <v>0</v>
      </c>
      <c r="M69" s="16">
        <v>0</v>
      </c>
      <c r="N69" s="16">
        <v>0</v>
      </c>
      <c r="O69" s="4"/>
    </row>
    <row r="70" spans="1:17">
      <c r="A70" s="37" t="s">
        <v>97</v>
      </c>
      <c r="B70" s="41" t="s">
        <v>20</v>
      </c>
      <c r="C70" s="16">
        <v>1479</v>
      </c>
      <c r="D70" s="16">
        <v>1785</v>
      </c>
      <c r="E70" s="16">
        <v>0</v>
      </c>
      <c r="F70" s="16">
        <v>0</v>
      </c>
      <c r="G70" s="4"/>
      <c r="I70" s="37" t="s">
        <v>97</v>
      </c>
      <c r="J70" s="41" t="s">
        <v>20</v>
      </c>
      <c r="K70" s="16">
        <v>1479</v>
      </c>
      <c r="L70" s="16">
        <v>1785</v>
      </c>
      <c r="M70" s="16">
        <v>0</v>
      </c>
      <c r="N70" s="16">
        <v>0</v>
      </c>
      <c r="O70" s="4"/>
    </row>
    <row r="71" spans="1:17">
      <c r="A71" s="37" t="s">
        <v>98</v>
      </c>
      <c r="B71" s="41" t="s">
        <v>20</v>
      </c>
      <c r="C71" s="16">
        <v>1508.58</v>
      </c>
      <c r="D71" s="16">
        <v>1820.7</v>
      </c>
      <c r="E71" s="16">
        <v>0</v>
      </c>
      <c r="F71" s="16">
        <v>0</v>
      </c>
      <c r="G71" s="4"/>
      <c r="I71" s="37" t="s">
        <v>98</v>
      </c>
      <c r="J71" s="41" t="s">
        <v>20</v>
      </c>
      <c r="K71" s="16">
        <v>1508.58</v>
      </c>
      <c r="L71" s="16">
        <v>1820.7</v>
      </c>
      <c r="M71" s="16">
        <v>0</v>
      </c>
      <c r="N71" s="16">
        <v>0</v>
      </c>
      <c r="O71" s="4"/>
    </row>
    <row r="72" spans="1:17">
      <c r="A72" s="37" t="s">
        <v>99</v>
      </c>
      <c r="B72" s="41" t="s">
        <v>22</v>
      </c>
      <c r="C72" s="16">
        <v>1362</v>
      </c>
      <c r="D72" s="16">
        <v>1477</v>
      </c>
      <c r="E72" s="16"/>
      <c r="F72" s="16"/>
      <c r="G72" s="4"/>
      <c r="I72" s="37" t="s">
        <v>202</v>
      </c>
      <c r="J72" s="41" t="s">
        <v>22</v>
      </c>
      <c r="K72" s="16">
        <v>1362</v>
      </c>
      <c r="L72" s="16">
        <v>1477</v>
      </c>
      <c r="M72" s="16"/>
      <c r="N72" s="16"/>
      <c r="O72" s="4"/>
    </row>
    <row r="73" spans="1:17">
      <c r="A73" s="37" t="s">
        <v>203</v>
      </c>
      <c r="B73" s="41" t="s">
        <v>20</v>
      </c>
      <c r="C73" s="16"/>
      <c r="D73" s="16"/>
      <c r="E73" s="16"/>
      <c r="F73" s="16"/>
      <c r="G73" s="4"/>
      <c r="I73" s="37" t="s">
        <v>203</v>
      </c>
      <c r="J73" s="41" t="s">
        <v>20</v>
      </c>
      <c r="K73" s="16"/>
      <c r="L73" s="16"/>
      <c r="M73" s="16"/>
      <c r="N73" s="16"/>
      <c r="O73" s="4"/>
    </row>
    <row r="74" spans="1:17">
      <c r="A74" s="37" t="s">
        <v>101</v>
      </c>
      <c r="B74" s="41" t="s">
        <v>20</v>
      </c>
      <c r="C74" s="16">
        <f>1261*2%+1261</f>
        <v>1286.22</v>
      </c>
      <c r="D74" s="16"/>
      <c r="E74" s="16"/>
      <c r="F74" s="16"/>
      <c r="G74" s="4"/>
      <c r="I74" s="37" t="s">
        <v>101</v>
      </c>
      <c r="J74" s="41" t="s">
        <v>20</v>
      </c>
      <c r="K74" s="16">
        <f>1261*2%+1261</f>
        <v>1286.22</v>
      </c>
      <c r="L74" s="16"/>
      <c r="M74" s="16"/>
      <c r="N74" s="16"/>
      <c r="O74" s="4"/>
    </row>
    <row r="75" spans="1:17">
      <c r="A75" s="37" t="s">
        <v>102</v>
      </c>
      <c r="B75" s="41" t="s">
        <v>20</v>
      </c>
      <c r="C75" s="16">
        <v>1508.58</v>
      </c>
      <c r="D75" s="16">
        <v>1820.7</v>
      </c>
      <c r="E75" s="16">
        <v>0</v>
      </c>
      <c r="F75" s="16">
        <v>0</v>
      </c>
      <c r="G75" s="4"/>
      <c r="I75" s="37" t="s">
        <v>102</v>
      </c>
      <c r="J75" s="41" t="s">
        <v>20</v>
      </c>
      <c r="K75" s="16">
        <v>1508.58</v>
      </c>
      <c r="L75" s="16">
        <v>1820.7</v>
      </c>
      <c r="M75" s="16">
        <v>0</v>
      </c>
      <c r="N75" s="16">
        <v>0</v>
      </c>
      <c r="O75" s="4"/>
    </row>
    <row r="76" spans="1:17">
      <c r="A76" s="37" t="s">
        <v>103</v>
      </c>
      <c r="B76" s="41" t="s">
        <v>20</v>
      </c>
      <c r="C76" s="16">
        <v>1422.9</v>
      </c>
      <c r="D76" s="16">
        <v>1719.72</v>
      </c>
      <c r="E76" s="16">
        <v>2076.7199999999998</v>
      </c>
      <c r="F76" s="16">
        <v>1719.72</v>
      </c>
      <c r="G76" s="4"/>
      <c r="I76" s="37" t="s">
        <v>103</v>
      </c>
      <c r="J76" s="41" t="s">
        <v>20</v>
      </c>
      <c r="K76" s="16">
        <v>1422.9</v>
      </c>
      <c r="L76" s="16">
        <v>1719.72</v>
      </c>
      <c r="M76" s="16">
        <v>2076.7199999999998</v>
      </c>
      <c r="N76" s="16">
        <v>1719.72</v>
      </c>
      <c r="O76" s="4"/>
    </row>
    <row r="77" spans="1:17">
      <c r="A77" s="37" t="s">
        <v>104</v>
      </c>
      <c r="B77" s="41" t="s">
        <v>20</v>
      </c>
      <c r="C77" s="16">
        <f>1450*2%+1450</f>
        <v>1479</v>
      </c>
      <c r="D77" s="16">
        <f>1750*2%+1750</f>
        <v>1785</v>
      </c>
      <c r="E77" s="16"/>
      <c r="F77" s="16"/>
      <c r="G77" s="4"/>
      <c r="H77">
        <f>1530*2%+1530</f>
        <v>1560.6</v>
      </c>
      <c r="I77" s="37" t="s">
        <v>104</v>
      </c>
      <c r="J77" s="41" t="s">
        <v>20</v>
      </c>
      <c r="K77" s="16">
        <f>1450*2%+1450</f>
        <v>1479</v>
      </c>
      <c r="L77" s="16">
        <f>1750*2%+1750</f>
        <v>1785</v>
      </c>
      <c r="M77" s="16"/>
      <c r="N77" s="16"/>
      <c r="O77" s="4"/>
    </row>
    <row r="78" spans="1:17">
      <c r="A78" s="37" t="s">
        <v>105</v>
      </c>
      <c r="B78" s="41" t="s">
        <v>20</v>
      </c>
      <c r="C78" s="16">
        <v>1509</v>
      </c>
      <c r="D78" s="16">
        <v>1821</v>
      </c>
      <c r="E78" s="16"/>
      <c r="F78" s="16"/>
      <c r="G78" s="4"/>
      <c r="I78" s="37" t="s">
        <v>105</v>
      </c>
      <c r="J78" s="41" t="s">
        <v>20</v>
      </c>
      <c r="K78" s="16">
        <v>1509</v>
      </c>
      <c r="L78" s="16">
        <v>1821</v>
      </c>
      <c r="M78" s="16"/>
      <c r="N78" s="16"/>
      <c r="O78" s="4"/>
    </row>
    <row r="79" spans="1:17">
      <c r="A79" s="37" t="s">
        <v>106</v>
      </c>
      <c r="B79" s="41" t="s">
        <v>20</v>
      </c>
      <c r="C79" s="16">
        <v>1450</v>
      </c>
      <c r="D79" s="16">
        <v>1750</v>
      </c>
      <c r="E79" s="16"/>
      <c r="F79" s="16"/>
      <c r="G79" s="4"/>
      <c r="I79" s="37" t="s">
        <v>106</v>
      </c>
      <c r="J79" s="41" t="s">
        <v>20</v>
      </c>
      <c r="K79" s="16">
        <v>1450</v>
      </c>
      <c r="L79" s="16">
        <v>1750</v>
      </c>
      <c r="M79" s="16"/>
      <c r="N79" s="16"/>
      <c r="O79" s="4"/>
    </row>
    <row r="80" spans="1:17">
      <c r="A80" s="37" t="s">
        <v>107</v>
      </c>
      <c r="B80" s="41" t="s">
        <v>20</v>
      </c>
      <c r="C80" s="16">
        <v>1479</v>
      </c>
      <c r="D80" s="16">
        <v>1785</v>
      </c>
      <c r="E80" s="16">
        <v>0</v>
      </c>
      <c r="F80" s="16">
        <v>0</v>
      </c>
      <c r="G80" s="4"/>
      <c r="I80" s="37" t="s">
        <v>107</v>
      </c>
      <c r="J80" s="41" t="s">
        <v>20</v>
      </c>
      <c r="K80" s="16">
        <v>1479</v>
      </c>
      <c r="L80" s="16">
        <v>1785</v>
      </c>
      <c r="M80" s="16">
        <v>0</v>
      </c>
      <c r="N80" s="16">
        <v>0</v>
      </c>
      <c r="O80" s="4"/>
    </row>
    <row r="81" spans="1:16">
      <c r="A81" s="37" t="s">
        <v>108</v>
      </c>
      <c r="B81" s="41" t="s">
        <v>27</v>
      </c>
      <c r="C81" s="16">
        <v>1304.58</v>
      </c>
      <c r="D81" s="16">
        <v>0</v>
      </c>
      <c r="E81" s="16">
        <f>1448*2%+1448</f>
        <v>1476.96</v>
      </c>
      <c r="F81" s="16">
        <v>0</v>
      </c>
      <c r="G81" s="4"/>
      <c r="I81" s="37" t="s">
        <v>108</v>
      </c>
      <c r="J81" s="41" t="s">
        <v>27</v>
      </c>
      <c r="K81" s="16">
        <v>1304.58</v>
      </c>
      <c r="L81" s="16">
        <v>0</v>
      </c>
      <c r="M81" s="16">
        <f>1448*2%+1448</f>
        <v>1476.96</v>
      </c>
      <c r="N81" s="16">
        <v>0</v>
      </c>
      <c r="O81" s="4"/>
    </row>
    <row r="82" spans="1:16">
      <c r="A82" s="37" t="s">
        <v>108</v>
      </c>
      <c r="B82" s="41" t="s">
        <v>27</v>
      </c>
      <c r="C82" s="16">
        <v>1304.58</v>
      </c>
      <c r="D82" s="16">
        <v>0</v>
      </c>
      <c r="E82" s="16">
        <v>0</v>
      </c>
      <c r="F82" s="16">
        <v>0</v>
      </c>
      <c r="G82" s="4"/>
      <c r="H82" t="s">
        <v>109</v>
      </c>
      <c r="I82" s="37" t="s">
        <v>108</v>
      </c>
      <c r="J82" s="41" t="s">
        <v>27</v>
      </c>
      <c r="K82" s="16">
        <v>1304.58</v>
      </c>
      <c r="L82" s="16">
        <v>0</v>
      </c>
      <c r="M82" s="16">
        <v>0</v>
      </c>
      <c r="N82" s="16">
        <v>0</v>
      </c>
      <c r="O82" s="4"/>
    </row>
    <row r="83" spans="1:16">
      <c r="A83" s="37" t="s">
        <v>110</v>
      </c>
      <c r="B83" s="41" t="s">
        <v>20</v>
      </c>
      <c r="C83" s="16">
        <v>1380.06</v>
      </c>
      <c r="D83" s="16">
        <v>1666.68</v>
      </c>
      <c r="E83" s="16">
        <v>2011.44</v>
      </c>
      <c r="F83" s="16">
        <v>1666.68</v>
      </c>
      <c r="G83" s="4"/>
      <c r="I83" s="37" t="s">
        <v>110</v>
      </c>
      <c r="J83" s="41" t="s">
        <v>20</v>
      </c>
      <c r="K83" s="16">
        <v>1380.06</v>
      </c>
      <c r="L83" s="16">
        <v>1666.68</v>
      </c>
      <c r="M83" s="16">
        <v>2011.44</v>
      </c>
      <c r="N83" s="16">
        <v>1666.68</v>
      </c>
      <c r="O83" s="4"/>
    </row>
    <row r="84" spans="1:16">
      <c r="A84" s="37" t="s">
        <v>112</v>
      </c>
      <c r="B84" s="41" t="s">
        <v>20</v>
      </c>
      <c r="C84" s="16">
        <v>1350</v>
      </c>
      <c r="D84" s="16">
        <v>1575</v>
      </c>
      <c r="E84" s="16">
        <v>1800</v>
      </c>
      <c r="F84" s="16">
        <v>2025</v>
      </c>
      <c r="G84" s="8">
        <v>1260</v>
      </c>
      <c r="H84" s="8" t="s">
        <v>111</v>
      </c>
      <c r="I84" s="37" t="s">
        <v>112</v>
      </c>
      <c r="J84" s="41" t="s">
        <v>20</v>
      </c>
      <c r="K84" s="16">
        <v>1350</v>
      </c>
      <c r="L84" s="16">
        <v>1575</v>
      </c>
      <c r="M84" s="16">
        <v>1800</v>
      </c>
      <c r="N84" s="16">
        <v>2025</v>
      </c>
      <c r="O84" s="8">
        <v>1260</v>
      </c>
      <c r="P84" s="4"/>
    </row>
    <row r="85" spans="1:16">
      <c r="A85" s="37" t="s">
        <v>113</v>
      </c>
      <c r="B85" s="41" t="s">
        <v>27</v>
      </c>
      <c r="C85" s="16">
        <v>1304.58</v>
      </c>
      <c r="D85" s="16">
        <v>0</v>
      </c>
      <c r="E85" s="16">
        <v>0</v>
      </c>
      <c r="F85" s="16">
        <v>0</v>
      </c>
      <c r="G85" s="4"/>
      <c r="I85" s="37" t="s">
        <v>113</v>
      </c>
      <c r="J85" s="41" t="s">
        <v>27</v>
      </c>
      <c r="K85" s="16">
        <v>1304.58</v>
      </c>
      <c r="L85" s="16">
        <v>0</v>
      </c>
      <c r="M85" s="16">
        <v>0</v>
      </c>
      <c r="N85" s="16">
        <v>0</v>
      </c>
      <c r="O85" s="4"/>
    </row>
    <row r="86" spans="1:16">
      <c r="A86" s="37" t="s">
        <v>114</v>
      </c>
      <c r="B86" s="41" t="s">
        <v>27</v>
      </c>
      <c r="C86" s="16">
        <v>1219.92</v>
      </c>
      <c r="D86" s="16">
        <v>0</v>
      </c>
      <c r="E86" s="16">
        <v>0</v>
      </c>
      <c r="F86" s="16">
        <v>0</v>
      </c>
      <c r="G86" s="4"/>
      <c r="I86" s="37" t="s">
        <v>114</v>
      </c>
      <c r="J86" s="41" t="s">
        <v>27</v>
      </c>
      <c r="K86" s="16">
        <v>1219.92</v>
      </c>
      <c r="L86" s="16">
        <v>0</v>
      </c>
      <c r="M86" s="16">
        <v>0</v>
      </c>
      <c r="N86" s="16">
        <v>0</v>
      </c>
      <c r="O86" s="4"/>
    </row>
    <row r="87" spans="1:16">
      <c r="A87" s="37" t="s">
        <v>115</v>
      </c>
      <c r="B87" s="41" t="s">
        <v>22</v>
      </c>
      <c r="C87" s="16">
        <v>1450</v>
      </c>
      <c r="D87" s="16">
        <v>1750</v>
      </c>
      <c r="E87" s="16"/>
      <c r="F87" s="16"/>
      <c r="G87" s="4"/>
      <c r="I87" s="37" t="s">
        <v>115</v>
      </c>
      <c r="J87" s="41" t="s">
        <v>22</v>
      </c>
      <c r="K87" s="16">
        <v>1450</v>
      </c>
      <c r="L87" s="16">
        <v>1750</v>
      </c>
      <c r="M87" s="16"/>
      <c r="N87" s="16"/>
      <c r="O87" s="4"/>
    </row>
    <row r="88" spans="1:16">
      <c r="A88" s="37" t="s">
        <v>116</v>
      </c>
      <c r="B88" s="41" t="s">
        <v>22</v>
      </c>
      <c r="C88" s="16">
        <v>1220</v>
      </c>
      <c r="D88" s="16">
        <v>1220</v>
      </c>
      <c r="E88" s="16">
        <v>1220</v>
      </c>
      <c r="F88" s="16"/>
      <c r="G88" s="4"/>
      <c r="I88" s="37" t="s">
        <v>116</v>
      </c>
      <c r="J88" s="41" t="s">
        <v>22</v>
      </c>
      <c r="K88" s="16">
        <v>1220</v>
      </c>
      <c r="L88" s="16">
        <v>1220</v>
      </c>
      <c r="M88" s="16">
        <v>1220</v>
      </c>
      <c r="N88" s="16"/>
      <c r="O88" s="4"/>
    </row>
    <row r="89" spans="1:16">
      <c r="A89" s="37" t="s">
        <v>118</v>
      </c>
      <c r="B89" s="41" t="s">
        <v>20</v>
      </c>
      <c r="C89" s="16">
        <v>184.62</v>
      </c>
      <c r="D89" s="16">
        <v>216.24</v>
      </c>
      <c r="E89" s="16">
        <v>216.24</v>
      </c>
      <c r="F89" s="16">
        <v>0</v>
      </c>
      <c r="G89" s="4"/>
      <c r="H89" s="1" t="s">
        <v>117</v>
      </c>
      <c r="I89" s="37" t="s">
        <v>118</v>
      </c>
      <c r="J89" s="41" t="s">
        <v>20</v>
      </c>
      <c r="K89" s="16">
        <v>184.62</v>
      </c>
      <c r="L89" s="16">
        <v>216.24</v>
      </c>
      <c r="M89" s="16">
        <v>216.24</v>
      </c>
      <c r="N89" s="16">
        <v>0</v>
      </c>
      <c r="O89" s="4"/>
      <c r="P89" s="1"/>
    </row>
    <row r="90" spans="1:16">
      <c r="A90" s="37" t="s">
        <v>119</v>
      </c>
      <c r="B90" s="36" t="s">
        <v>20</v>
      </c>
      <c r="C90" s="38">
        <v>1508.58</v>
      </c>
      <c r="D90" s="38">
        <v>1820.7</v>
      </c>
      <c r="E90" s="40">
        <v>0</v>
      </c>
      <c r="F90" s="40">
        <v>0</v>
      </c>
      <c r="G90" s="39"/>
      <c r="I90" s="37" t="s">
        <v>119</v>
      </c>
      <c r="J90" s="36" t="s">
        <v>20</v>
      </c>
      <c r="K90" s="35">
        <v>1508.58</v>
      </c>
      <c r="L90" s="35">
        <v>1820.7</v>
      </c>
      <c r="M90" s="35">
        <v>0</v>
      </c>
      <c r="N90" s="35">
        <v>0</v>
      </c>
      <c r="O90" s="39"/>
    </row>
    <row r="91" spans="1:16">
      <c r="A91" s="37" t="s">
        <v>120</v>
      </c>
      <c r="B91" s="36" t="s">
        <v>20</v>
      </c>
      <c r="C91" s="38">
        <v>1479</v>
      </c>
      <c r="D91" s="38">
        <v>1785</v>
      </c>
      <c r="E91" s="40">
        <v>0</v>
      </c>
      <c r="F91" s="40">
        <v>0</v>
      </c>
      <c r="G91" s="39"/>
      <c r="I91" s="37" t="s">
        <v>120</v>
      </c>
      <c r="J91" s="36" t="s">
        <v>20</v>
      </c>
      <c r="K91" s="35">
        <v>1479</v>
      </c>
      <c r="L91" s="35">
        <v>1785</v>
      </c>
      <c r="M91" s="35">
        <v>0</v>
      </c>
      <c r="N91" s="35">
        <v>0</v>
      </c>
      <c r="O91" s="39"/>
    </row>
    <row r="92" spans="1:16">
      <c r="A92" s="37" t="s">
        <v>121</v>
      </c>
      <c r="B92" s="36" t="s">
        <v>20</v>
      </c>
      <c r="C92" s="38">
        <v>1508.58</v>
      </c>
      <c r="D92" s="38">
        <v>1820.7</v>
      </c>
      <c r="E92" s="40">
        <v>0</v>
      </c>
      <c r="F92" s="40">
        <v>0</v>
      </c>
      <c r="G92" s="39"/>
      <c r="I92" s="37" t="s">
        <v>121</v>
      </c>
      <c r="J92" s="36" t="s">
        <v>20</v>
      </c>
      <c r="K92" s="35">
        <v>1508.58</v>
      </c>
      <c r="L92" s="35">
        <v>1820.7</v>
      </c>
      <c r="M92" s="35">
        <v>0</v>
      </c>
      <c r="N92" s="35">
        <v>0</v>
      </c>
      <c r="O92" s="39"/>
    </row>
    <row r="93" spans="1:16">
      <c r="A93" s="37" t="s">
        <v>122</v>
      </c>
      <c r="B93" s="36" t="s">
        <v>22</v>
      </c>
      <c r="C93" s="38">
        <v>1356.6</v>
      </c>
      <c r="D93" s="38">
        <v>0</v>
      </c>
      <c r="E93" s="40">
        <v>0</v>
      </c>
      <c r="F93" s="40">
        <v>0</v>
      </c>
      <c r="G93" s="39"/>
      <c r="I93" s="37" t="s">
        <v>122</v>
      </c>
      <c r="J93" s="36" t="s">
        <v>22</v>
      </c>
      <c r="K93" s="35">
        <v>1356.6</v>
      </c>
      <c r="L93" s="35">
        <v>0</v>
      </c>
      <c r="M93" s="35">
        <v>0</v>
      </c>
      <c r="N93" s="35">
        <v>0</v>
      </c>
      <c r="O93" s="39"/>
    </row>
    <row r="94" spans="1:16">
      <c r="A94" s="37" t="s">
        <v>123</v>
      </c>
      <c r="B94" s="36" t="s">
        <v>124</v>
      </c>
      <c r="C94" s="38">
        <v>1308.0999999999999</v>
      </c>
      <c r="D94" s="38">
        <v>0</v>
      </c>
      <c r="E94" s="40">
        <v>0</v>
      </c>
      <c r="F94" s="40">
        <v>0</v>
      </c>
      <c r="G94" s="39"/>
      <c r="H94">
        <f>1500*2%</f>
        <v>30</v>
      </c>
      <c r="I94" s="37" t="s">
        <v>123</v>
      </c>
      <c r="J94" s="36" t="s">
        <v>124</v>
      </c>
      <c r="K94" s="35">
        <v>1308.0999999999999</v>
      </c>
      <c r="L94" s="35">
        <v>0</v>
      </c>
      <c r="M94" s="35">
        <v>0</v>
      </c>
      <c r="N94" s="35">
        <v>0</v>
      </c>
      <c r="O94" s="39"/>
    </row>
    <row r="95" spans="1:16">
      <c r="A95" s="37" t="s">
        <v>126</v>
      </c>
      <c r="B95" s="36" t="s">
        <v>22</v>
      </c>
      <c r="C95" s="38">
        <v>1750</v>
      </c>
      <c r="D95" s="38">
        <v>2000</v>
      </c>
      <c r="E95" s="40">
        <v>0</v>
      </c>
      <c r="F95" s="40">
        <v>0</v>
      </c>
      <c r="G95" s="39"/>
      <c r="H95" s="7" t="s">
        <v>125</v>
      </c>
      <c r="I95" s="37" t="s">
        <v>126</v>
      </c>
      <c r="J95" s="36" t="s">
        <v>22</v>
      </c>
      <c r="K95" s="35">
        <v>1750</v>
      </c>
      <c r="L95" s="35">
        <v>2000</v>
      </c>
      <c r="M95" s="35">
        <v>0</v>
      </c>
      <c r="N95" s="35">
        <v>0</v>
      </c>
      <c r="O95" s="39"/>
      <c r="P95" s="7"/>
    </row>
    <row r="96" spans="1:16">
      <c r="A96" s="37" t="s">
        <v>127</v>
      </c>
      <c r="B96" s="36" t="s">
        <v>22</v>
      </c>
      <c r="C96" s="38">
        <v>1450</v>
      </c>
      <c r="D96" s="38">
        <v>1750</v>
      </c>
      <c r="E96" s="40">
        <v>0</v>
      </c>
      <c r="F96" s="40">
        <v>0</v>
      </c>
      <c r="G96" s="39"/>
      <c r="I96" s="37" t="s">
        <v>127</v>
      </c>
      <c r="J96" s="36" t="s">
        <v>22</v>
      </c>
      <c r="K96" s="35">
        <v>1450</v>
      </c>
      <c r="L96" s="35">
        <v>1750</v>
      </c>
      <c r="M96" s="35">
        <v>0</v>
      </c>
      <c r="N96" s="35">
        <v>0</v>
      </c>
      <c r="O96" s="39"/>
    </row>
    <row r="97" spans="1:15">
      <c r="A97" s="37" t="s">
        <v>128</v>
      </c>
      <c r="B97" s="36" t="s">
        <v>20</v>
      </c>
      <c r="C97" s="38">
        <f>1353*2%+1353</f>
        <v>1380.06</v>
      </c>
      <c r="D97" s="38">
        <f>1465*2%+1465</f>
        <v>1494.3</v>
      </c>
      <c r="E97" s="38">
        <v>2081</v>
      </c>
      <c r="F97" s="38">
        <v>1821</v>
      </c>
      <c r="G97" s="34"/>
      <c r="I97" s="37" t="s">
        <v>128</v>
      </c>
      <c r="J97" s="36" t="s">
        <v>20</v>
      </c>
      <c r="K97" s="35">
        <f>1353*2%+1353</f>
        <v>1380.06</v>
      </c>
      <c r="L97" s="35">
        <f>1465*2%+1465</f>
        <v>1494.3</v>
      </c>
      <c r="M97" s="35">
        <v>2081</v>
      </c>
      <c r="N97" s="35">
        <v>1821</v>
      </c>
      <c r="O97" s="34"/>
    </row>
    <row r="98" spans="1:15">
      <c r="A98" s="37" t="s">
        <v>129</v>
      </c>
      <c r="B98" s="36" t="s">
        <v>27</v>
      </c>
      <c r="C98" s="38">
        <v>1222.884</v>
      </c>
      <c r="D98" s="38">
        <v>0</v>
      </c>
      <c r="E98" s="40">
        <v>0</v>
      </c>
      <c r="F98" s="40">
        <v>0</v>
      </c>
      <c r="G98" s="39"/>
      <c r="I98" s="37" t="s">
        <v>129</v>
      </c>
      <c r="J98" s="36" t="s">
        <v>27</v>
      </c>
      <c r="K98" s="35">
        <v>1222.884</v>
      </c>
      <c r="L98" s="35">
        <v>0</v>
      </c>
      <c r="M98" s="35">
        <v>0</v>
      </c>
      <c r="N98" s="35">
        <v>0</v>
      </c>
      <c r="O98" s="39"/>
    </row>
    <row r="99" spans="1:15">
      <c r="A99" s="37" t="s">
        <v>130</v>
      </c>
      <c r="B99" s="36" t="s">
        <v>20</v>
      </c>
      <c r="C99" s="38">
        <f>1196*2%+1196</f>
        <v>1219.92</v>
      </c>
      <c r="D99" s="38">
        <f>1196*2%+1196</f>
        <v>1219.92</v>
      </c>
      <c r="E99" s="38"/>
      <c r="F99" s="38"/>
      <c r="G99" s="34"/>
      <c r="I99" s="37" t="s">
        <v>130</v>
      </c>
      <c r="J99" s="36" t="s">
        <v>20</v>
      </c>
      <c r="K99" s="35">
        <f>1196*2%+1196</f>
        <v>1219.92</v>
      </c>
      <c r="L99" s="35">
        <f>1196*2%+1196</f>
        <v>1219.92</v>
      </c>
      <c r="M99" s="35"/>
      <c r="N99" s="35"/>
      <c r="O99" s="34"/>
    </row>
    <row r="100" spans="1:15">
      <c r="A100" s="37" t="s">
        <v>131</v>
      </c>
      <c r="B100" s="36" t="s">
        <v>20</v>
      </c>
      <c r="C100" s="38">
        <v>1450</v>
      </c>
      <c r="D100" s="38">
        <v>1750</v>
      </c>
      <c r="E100" s="38"/>
      <c r="F100" s="38"/>
      <c r="G100" s="34"/>
      <c r="I100" s="37" t="s">
        <v>131</v>
      </c>
      <c r="J100" s="36" t="s">
        <v>20</v>
      </c>
      <c r="K100" s="35">
        <v>1450</v>
      </c>
      <c r="L100" s="35">
        <v>1750</v>
      </c>
      <c r="M100" s="35"/>
      <c r="N100" s="35"/>
      <c r="O100" s="34"/>
    </row>
    <row r="101" spans="1:15">
      <c r="A101" s="37" t="s">
        <v>132</v>
      </c>
      <c r="B101" s="36" t="s">
        <v>20</v>
      </c>
      <c r="C101" s="38">
        <f>1450*2%+1450</f>
        <v>1479</v>
      </c>
      <c r="D101" s="38">
        <v>1785</v>
      </c>
      <c r="E101" s="38"/>
      <c r="F101" s="38"/>
      <c r="G101" s="34"/>
      <c r="I101" s="37" t="s">
        <v>132</v>
      </c>
      <c r="J101" s="36" t="s">
        <v>20</v>
      </c>
      <c r="K101" s="35">
        <f>1450*2%+1450</f>
        <v>1479</v>
      </c>
      <c r="L101" s="35">
        <v>1785</v>
      </c>
      <c r="M101" s="35"/>
      <c r="N101" s="35"/>
      <c r="O101" s="34"/>
    </row>
    <row r="102" spans="1:15">
      <c r="A102" s="37" t="s">
        <v>133</v>
      </c>
      <c r="B102" s="36" t="s">
        <v>20</v>
      </c>
      <c r="C102" s="38">
        <f>1450*2%+1450</f>
        <v>1479</v>
      </c>
      <c r="D102" s="38">
        <f>1750*2%+1750</f>
        <v>1785</v>
      </c>
      <c r="E102" s="38"/>
      <c r="F102" s="38"/>
      <c r="G102" s="34"/>
      <c r="I102" s="37" t="s">
        <v>133</v>
      </c>
      <c r="J102" s="36" t="s">
        <v>20</v>
      </c>
      <c r="K102" s="35">
        <f>1450*2%+1450</f>
        <v>1479</v>
      </c>
      <c r="L102" s="35">
        <f>1750*2%+1750</f>
        <v>1785</v>
      </c>
      <c r="M102" s="35"/>
      <c r="N102" s="35"/>
      <c r="O102" s="34"/>
    </row>
    <row r="103" spans="1:15">
      <c r="A103" s="37" t="s">
        <v>134</v>
      </c>
      <c r="B103" s="36" t="s">
        <v>20</v>
      </c>
      <c r="C103" s="38">
        <f>1117*2%+1117</f>
        <v>1139.3399999999999</v>
      </c>
      <c r="D103" s="38">
        <f>1117*2%+1117</f>
        <v>1139.3399999999999</v>
      </c>
      <c r="E103" s="38">
        <v>0</v>
      </c>
      <c r="F103" s="38">
        <v>0</v>
      </c>
      <c r="G103" s="34"/>
      <c r="I103" s="37" t="s">
        <v>134</v>
      </c>
      <c r="J103" s="36" t="s">
        <v>20</v>
      </c>
      <c r="K103" s="35">
        <f>1117*2%+1117</f>
        <v>1139.3399999999999</v>
      </c>
      <c r="L103" s="35">
        <f>1117*2%+1117</f>
        <v>1139.3399999999999</v>
      </c>
      <c r="M103" s="35">
        <v>0</v>
      </c>
      <c r="N103" s="35">
        <v>0</v>
      </c>
      <c r="O103" s="34"/>
    </row>
    <row r="104" spans="1:15">
      <c r="A104" s="37" t="s">
        <v>135</v>
      </c>
      <c r="B104" s="36" t="s">
        <v>27</v>
      </c>
      <c r="C104" s="38">
        <v>1375.98</v>
      </c>
      <c r="D104" s="38">
        <v>0</v>
      </c>
      <c r="E104" s="38">
        <v>0</v>
      </c>
      <c r="F104" s="38">
        <v>0</v>
      </c>
      <c r="G104" s="34"/>
      <c r="I104" s="37" t="s">
        <v>135</v>
      </c>
      <c r="J104" s="36" t="s">
        <v>27</v>
      </c>
      <c r="K104" s="35">
        <v>1375.98</v>
      </c>
      <c r="L104" s="35">
        <v>0</v>
      </c>
      <c r="M104" s="35">
        <v>0</v>
      </c>
      <c r="N104" s="35">
        <v>0</v>
      </c>
      <c r="O104" s="34"/>
    </row>
    <row r="105" spans="1:15">
      <c r="A105" s="37" t="s">
        <v>136</v>
      </c>
      <c r="B105" s="36" t="s">
        <v>20</v>
      </c>
      <c r="C105" s="40">
        <v>1479</v>
      </c>
      <c r="D105" s="40">
        <v>1785</v>
      </c>
      <c r="E105" s="40">
        <v>0</v>
      </c>
      <c r="F105" s="40">
        <v>0</v>
      </c>
      <c r="G105" s="39"/>
      <c r="I105" s="37" t="s">
        <v>136</v>
      </c>
      <c r="J105" s="36" t="s">
        <v>20</v>
      </c>
      <c r="K105" s="35">
        <v>1479</v>
      </c>
      <c r="L105" s="35">
        <v>1785</v>
      </c>
      <c r="M105" s="35">
        <v>0</v>
      </c>
      <c r="N105" s="35">
        <v>0</v>
      </c>
      <c r="O105" s="39"/>
    </row>
    <row r="106" spans="1:15">
      <c r="A106" s="37" t="s">
        <v>138</v>
      </c>
      <c r="B106" s="36" t="s">
        <v>139</v>
      </c>
      <c r="C106" s="38">
        <v>1450</v>
      </c>
      <c r="D106" s="38">
        <v>1750</v>
      </c>
      <c r="E106" s="38">
        <v>2299.08</v>
      </c>
      <c r="F106" s="38">
        <v>2011.44</v>
      </c>
      <c r="G106" s="34"/>
      <c r="H106" t="s">
        <v>137</v>
      </c>
      <c r="I106" s="37" t="s">
        <v>138</v>
      </c>
      <c r="J106" s="36" t="s">
        <v>139</v>
      </c>
      <c r="K106" s="35">
        <v>1450</v>
      </c>
      <c r="L106" s="35">
        <v>1750</v>
      </c>
      <c r="M106" s="35">
        <v>2299.08</v>
      </c>
      <c r="N106" s="35">
        <v>2011.44</v>
      </c>
      <c r="O106" s="34"/>
    </row>
    <row r="107" spans="1:15">
      <c r="A107" s="37" t="s">
        <v>140</v>
      </c>
      <c r="B107" s="36" t="s">
        <v>20</v>
      </c>
      <c r="C107" s="38">
        <v>1666.68</v>
      </c>
      <c r="D107" s="38">
        <v>2011.44</v>
      </c>
      <c r="E107" s="38">
        <v>2299.08</v>
      </c>
      <c r="F107" s="38">
        <v>2011.44</v>
      </c>
      <c r="G107" s="34"/>
      <c r="I107" s="37" t="s">
        <v>140</v>
      </c>
      <c r="J107" s="36" t="s">
        <v>20</v>
      </c>
      <c r="K107" s="35">
        <v>1666.68</v>
      </c>
      <c r="L107" s="35">
        <v>2011.44</v>
      </c>
      <c r="M107" s="35">
        <v>2299.08</v>
      </c>
      <c r="N107" s="35">
        <v>2011.44</v>
      </c>
      <c r="O107" s="34"/>
    </row>
    <row r="108" spans="1:15">
      <c r="A108" s="31"/>
      <c r="C108" s="33"/>
      <c r="D108" s="33"/>
      <c r="E108" s="33"/>
      <c r="F108" s="33"/>
      <c r="G108" s="33"/>
      <c r="I108" s="31"/>
      <c r="K108" s="33"/>
      <c r="L108" s="33"/>
      <c r="M108" s="33"/>
      <c r="N108" s="33"/>
      <c r="O108" s="33"/>
    </row>
    <row r="109" spans="1:15" ht="21">
      <c r="A109" s="32" t="s">
        <v>204</v>
      </c>
      <c r="I109" s="32" t="s">
        <v>204</v>
      </c>
    </row>
    <row r="110" spans="1:15">
      <c r="A110" s="31"/>
      <c r="I110" s="31"/>
    </row>
    <row r="111" spans="1:15">
      <c r="A111" s="30" t="s">
        <v>8</v>
      </c>
      <c r="B111" s="29" t="s">
        <v>205</v>
      </c>
      <c r="I111" s="30" t="s">
        <v>8</v>
      </c>
      <c r="J111" s="29" t="s">
        <v>205</v>
      </c>
    </row>
    <row r="112" spans="1:15">
      <c r="A112" s="28" t="s">
        <v>11</v>
      </c>
      <c r="B112" s="27" t="s">
        <v>2</v>
      </c>
      <c r="C112" s="26" t="s">
        <v>3</v>
      </c>
      <c r="I112" s="28" t="s">
        <v>11</v>
      </c>
      <c r="J112" s="27" t="s">
        <v>2</v>
      </c>
      <c r="K112" s="26" t="s">
        <v>3</v>
      </c>
    </row>
    <row r="113" spans="1:11">
      <c r="A113" s="22" t="s">
        <v>143</v>
      </c>
      <c r="B113" s="16">
        <v>1255.8634615384615</v>
      </c>
      <c r="C113" s="21"/>
      <c r="I113" s="22" t="s">
        <v>143</v>
      </c>
      <c r="J113" s="16">
        <v>1255.8634615384615</v>
      </c>
      <c r="K113" s="21"/>
    </row>
    <row r="114" spans="1:11">
      <c r="A114" s="22" t="s">
        <v>26</v>
      </c>
      <c r="B114" s="16">
        <v>1268.0231729999998</v>
      </c>
      <c r="C114" s="21"/>
      <c r="I114" s="22" t="s">
        <v>26</v>
      </c>
      <c r="J114" s="16">
        <v>1268.0231729999998</v>
      </c>
      <c r="K114" s="21"/>
    </row>
    <row r="115" spans="1:11">
      <c r="A115" s="25" t="s">
        <v>144</v>
      </c>
      <c r="B115" s="16">
        <v>1254.7223999999999</v>
      </c>
      <c r="C115" s="21"/>
      <c r="I115" s="25" t="s">
        <v>144</v>
      </c>
      <c r="J115" s="16">
        <v>1254.7223999999999</v>
      </c>
      <c r="K115" s="21"/>
    </row>
    <row r="116" spans="1:11">
      <c r="A116" s="24" t="s">
        <v>147</v>
      </c>
      <c r="B116" s="16">
        <v>1176.5457692307691</v>
      </c>
      <c r="C116" s="21"/>
      <c r="I116" s="24" t="s">
        <v>147</v>
      </c>
      <c r="J116" s="16">
        <v>1176.5457692307691</v>
      </c>
      <c r="K116" s="21"/>
    </row>
    <row r="117" spans="1:11">
      <c r="A117" s="22" t="s">
        <v>150</v>
      </c>
      <c r="B117" s="16">
        <v>1304.58</v>
      </c>
      <c r="C117" s="21"/>
      <c r="H117" t="s">
        <v>109</v>
      </c>
      <c r="I117" s="22" t="s">
        <v>150</v>
      </c>
      <c r="J117" s="16">
        <v>1304.58</v>
      </c>
      <c r="K117" s="21"/>
    </row>
    <row r="118" spans="1:11">
      <c r="A118" s="22" t="s">
        <v>150</v>
      </c>
      <c r="B118" s="16">
        <v>1192.3800000000001</v>
      </c>
      <c r="C118" s="21"/>
      <c r="H118" t="s">
        <v>154</v>
      </c>
      <c r="I118" s="22" t="s">
        <v>150</v>
      </c>
      <c r="J118" s="16">
        <v>1192.3800000000001</v>
      </c>
      <c r="K118" s="21"/>
    </row>
    <row r="119" spans="1:11">
      <c r="A119" s="22" t="s">
        <v>155</v>
      </c>
      <c r="B119" s="16">
        <v>1268.0661834319526</v>
      </c>
      <c r="C119" s="21"/>
      <c r="I119" s="22" t="s">
        <v>155</v>
      </c>
      <c r="J119" s="16">
        <v>1268.0661834319526</v>
      </c>
      <c r="K119" s="21"/>
    </row>
    <row r="120" spans="1:11">
      <c r="A120" s="25" t="s">
        <v>41</v>
      </c>
      <c r="B120" s="16">
        <v>1286</v>
      </c>
      <c r="C120" s="21"/>
      <c r="I120" s="25" t="s">
        <v>41</v>
      </c>
      <c r="J120" s="16">
        <v>1286</v>
      </c>
      <c r="K120" s="21"/>
    </row>
    <row r="121" spans="1:11">
      <c r="A121" s="24" t="s">
        <v>43</v>
      </c>
      <c r="B121" s="16">
        <v>1281</v>
      </c>
      <c r="C121" s="21"/>
      <c r="I121" s="24" t="s">
        <v>43</v>
      </c>
      <c r="J121" s="16">
        <v>1281</v>
      </c>
      <c r="K121" s="21"/>
    </row>
    <row r="122" spans="1:11">
      <c r="A122" s="22" t="s">
        <v>160</v>
      </c>
      <c r="B122" s="16">
        <v>1177.5626627218935</v>
      </c>
      <c r="C122" s="21"/>
      <c r="I122" s="22" t="s">
        <v>160</v>
      </c>
      <c r="J122" s="16">
        <v>1177.5626627218935</v>
      </c>
      <c r="K122" s="21"/>
    </row>
    <row r="123" spans="1:11">
      <c r="A123" s="22" t="s">
        <v>57</v>
      </c>
      <c r="B123" s="16">
        <v>1313.7980591715977</v>
      </c>
      <c r="C123" s="21"/>
      <c r="I123" s="22" t="s">
        <v>57</v>
      </c>
      <c r="J123" s="16">
        <v>1313.7980591715977</v>
      </c>
      <c r="K123" s="21"/>
    </row>
    <row r="124" spans="1:11">
      <c r="A124" s="22" t="s">
        <v>164</v>
      </c>
      <c r="B124" s="16">
        <v>1302.6405621301776</v>
      </c>
      <c r="C124" s="21"/>
      <c r="I124" s="22" t="s">
        <v>164</v>
      </c>
      <c r="J124" s="16">
        <v>1302.6405621301776</v>
      </c>
      <c r="K124" s="21"/>
    </row>
    <row r="125" spans="1:11">
      <c r="A125" s="22" t="s">
        <v>70</v>
      </c>
      <c r="B125" s="16">
        <v>1261.74</v>
      </c>
      <c r="C125" s="21"/>
      <c r="I125" s="22" t="s">
        <v>70</v>
      </c>
      <c r="J125" s="16">
        <v>1261.74</v>
      </c>
      <c r="K125" s="21"/>
    </row>
    <row r="126" spans="1:11">
      <c r="A126" s="22" t="s">
        <v>75</v>
      </c>
      <c r="B126" s="16">
        <v>1220.2721893491123</v>
      </c>
      <c r="C126" s="21"/>
      <c r="I126" s="22" t="s">
        <v>75</v>
      </c>
      <c r="J126" s="16">
        <v>1220.2721893491123</v>
      </c>
      <c r="K126" s="21"/>
    </row>
    <row r="127" spans="1:11">
      <c r="A127" s="22" t="s">
        <v>96</v>
      </c>
      <c r="B127" s="16">
        <v>1238.3208</v>
      </c>
      <c r="C127" s="21"/>
      <c r="I127" s="22" t="s">
        <v>96</v>
      </c>
      <c r="J127" s="16">
        <v>1238.3208</v>
      </c>
      <c r="K127" s="21"/>
    </row>
    <row r="128" spans="1:11">
      <c r="A128" s="22" t="s">
        <v>95</v>
      </c>
      <c r="B128" s="16">
        <v>1238.3208</v>
      </c>
      <c r="C128" s="21"/>
      <c r="I128" s="22" t="s">
        <v>95</v>
      </c>
      <c r="J128" s="16">
        <v>1238.3208</v>
      </c>
      <c r="K128" s="21"/>
    </row>
    <row r="129" spans="1:11">
      <c r="A129" s="22" t="s">
        <v>171</v>
      </c>
      <c r="B129" s="16">
        <v>1215.8399999999999</v>
      </c>
      <c r="C129" s="21"/>
      <c r="I129" s="22" t="s">
        <v>171</v>
      </c>
      <c r="J129" s="16">
        <v>1215.8399999999999</v>
      </c>
      <c r="K129" s="21"/>
    </row>
    <row r="130" spans="1:11">
      <c r="A130" s="25" t="s">
        <v>173</v>
      </c>
      <c r="B130" s="16">
        <v>1271.1168639053253</v>
      </c>
      <c r="C130" s="21"/>
      <c r="I130" s="25" t="s">
        <v>173</v>
      </c>
      <c r="J130" s="16">
        <v>1271.1168639053253</v>
      </c>
      <c r="K130" s="21"/>
    </row>
    <row r="131" spans="1:11">
      <c r="A131" s="24" t="s">
        <v>175</v>
      </c>
      <c r="B131" s="16">
        <v>1133.8362426035501</v>
      </c>
      <c r="C131" s="21"/>
      <c r="H131" t="s">
        <v>177</v>
      </c>
      <c r="I131" s="24" t="s">
        <v>175</v>
      </c>
      <c r="J131" s="16">
        <v>1133.8362426035501</v>
      </c>
      <c r="K131" s="21"/>
    </row>
    <row r="132" spans="1:11">
      <c r="A132" s="22" t="s">
        <v>101</v>
      </c>
      <c r="B132" s="16">
        <v>1276.2013313609466</v>
      </c>
      <c r="C132" s="21"/>
      <c r="I132" s="22" t="s">
        <v>101</v>
      </c>
      <c r="J132" s="16">
        <v>1276.2013313609466</v>
      </c>
      <c r="K132" s="21"/>
    </row>
    <row r="133" spans="1:11">
      <c r="A133" s="23" t="s">
        <v>179</v>
      </c>
      <c r="B133" s="16">
        <v>1229.3825309999997</v>
      </c>
      <c r="C133" s="21"/>
      <c r="H133" t="s">
        <v>181</v>
      </c>
      <c r="I133" s="23" t="s">
        <v>179</v>
      </c>
      <c r="J133" s="16">
        <v>1229.3825309999997</v>
      </c>
      <c r="K133" s="21"/>
    </row>
    <row r="134" spans="1:11">
      <c r="A134" s="22" t="s">
        <v>182</v>
      </c>
      <c r="B134" s="16">
        <v>1302.9020999999998</v>
      </c>
      <c r="C134" s="21"/>
      <c r="I134" s="22" t="s">
        <v>182</v>
      </c>
      <c r="J134" s="16">
        <v>1302.9020999999998</v>
      </c>
      <c r="K134" s="21"/>
    </row>
    <row r="135" spans="1:11">
      <c r="A135" s="22" t="s">
        <v>184</v>
      </c>
      <c r="B135" s="16">
        <v>1276.2013313609466</v>
      </c>
      <c r="C135" s="21"/>
      <c r="I135" s="22" t="s">
        <v>184</v>
      </c>
      <c r="J135" s="16">
        <v>1276.2013313609466</v>
      </c>
      <c r="K135" s="21"/>
    </row>
    <row r="136" spans="1:11">
      <c r="A136" s="20" t="s">
        <v>134</v>
      </c>
      <c r="B136" s="19">
        <v>1116.5549999999998</v>
      </c>
      <c r="C136" s="18"/>
      <c r="I136" s="20" t="s">
        <v>134</v>
      </c>
      <c r="J136" s="19">
        <v>1116.5549999999998</v>
      </c>
      <c r="K136" s="18"/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272698a8-09ac-4ae1-b425-921a6638bf36" xsi:nil="true"/>
    <lcf76f155ced4ddcb4097134ff3c332f xmlns="272698a8-09ac-4ae1-b425-921a6638bf36">
      <Terms xmlns="http://schemas.microsoft.com/office/infopath/2007/PartnerControls"/>
    </lcf76f155ced4ddcb4097134ff3c332f>
    <TaxCatchAll xmlns="dd1d72e5-9f0f-4b90-8e52-7d699711f6e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E1FE47F3CD5BF4E82AF39D93D030E3C" ma:contentTypeVersion="22" ma:contentTypeDescription="Opret et nyt dokument." ma:contentTypeScope="" ma:versionID="c01ea1e2d93e8eb42a56c395f087387b">
  <xsd:schema xmlns:xsd="http://www.w3.org/2001/XMLSchema" xmlns:xs="http://www.w3.org/2001/XMLSchema" xmlns:p="http://schemas.microsoft.com/office/2006/metadata/properties" xmlns:ns2="272698a8-09ac-4ae1-b425-921a6638bf36" xmlns:ns3="dd1d72e5-9f0f-4b90-8e52-7d699711f6ef" targetNamespace="http://schemas.microsoft.com/office/2006/metadata/properties" ma:root="true" ma:fieldsID="470bac2ee5d69b784ce5c9fe42e929b4" ns2:_="" ns3:_="">
    <xsd:import namespace="272698a8-09ac-4ae1-b425-921a6638bf36"/>
    <xsd:import namespace="dd1d72e5-9f0f-4b90-8e52-7d699711f6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Comment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2698a8-09ac-4ae1-b425-921a6638bf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Billedmærker" ma:readOnly="false" ma:fieldId="{5cf76f15-5ced-4ddc-b409-7134ff3c332f}" ma:taxonomyMulti="true" ma:sspId="1abefdae-d4a1-4291-8753-b563a06ef8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mment" ma:index="24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1d72e5-9f0f-4b90-8e52-7d699711f6e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444dbcd-6244-4b75-8074-e61d4499818e}" ma:internalName="TaxCatchAll" ma:showField="CatchAllData" ma:web="dd1d72e5-9f0f-4b90-8e52-7d699711f6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9966A6-13FC-4B85-89B9-56C9636C306E}"/>
</file>

<file path=customXml/itemProps2.xml><?xml version="1.0" encoding="utf-8"?>
<ds:datastoreItem xmlns:ds="http://schemas.openxmlformats.org/officeDocument/2006/customXml" ds:itemID="{2DF18652-0E23-42CC-B291-75229088AB22}"/>
</file>

<file path=customXml/itemProps3.xml><?xml version="1.0" encoding="utf-8"?>
<ds:datastoreItem xmlns:ds="http://schemas.openxmlformats.org/officeDocument/2006/customXml" ds:itemID="{A1A26BE9-93A5-4921-9B67-FE6501DE97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Henriette Kjeldbjerg Rank</dc:creator>
  <cp:keywords/>
  <dc:description/>
  <cp:lastModifiedBy/>
  <cp:revision/>
  <dcterms:created xsi:type="dcterms:W3CDTF">2025-11-17T08:12:54Z</dcterms:created>
  <dcterms:modified xsi:type="dcterms:W3CDTF">2025-12-19T12:43:07Z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0x0101000E1FE47F3CD5BF4E82AF39D93D030E3C</vt:lpwstr>
  </property>
  <property fmtid="{D5CDD505-2E9C-101B-9397-08002B2CF9AE}" pid="3" name="MediaServiceImageTags">
    <vt:lpwstr/>
  </property>
</Properties>
</file>